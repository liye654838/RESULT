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50" windowHeight="9700" firstSheet="9" activeTab="11"/>
  </bookViews>
  <sheets>
    <sheet name="6" sheetId="1" r:id="rId1"/>
    <sheet name="9" sheetId="2" r:id="rId2"/>
    <sheet name="25" sheetId="3" r:id="rId3"/>
    <sheet name="25 (2)" sheetId="13" r:id="rId4"/>
    <sheet name="50" sheetId="16" r:id="rId5"/>
    <sheet name="4.2.2. Impact of Service Time o" sheetId="18" r:id="rId6"/>
    <sheet name="4.2.3. The Value of Optimizing " sheetId="17" r:id="rId7"/>
    <sheet name="4.3.1. Impact of Biological Reg" sheetId="14" r:id="rId8"/>
    <sheet name="4.3.3. Impact of Planning Horiz" sheetId="6" r:id="rId9"/>
    <sheet name="4.3.4. Impact of Battery Endura" sheetId="7" r:id="rId10"/>
    <sheet name="4.3.2. Impact of Tmax and Numbe" sheetId="19" r:id="rId11"/>
    <sheet name="Sheet3" sheetId="5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<sst xmlns="http://schemas.openxmlformats.org/spreadsheetml/2006/main" count="1054" uniqueCount="385">
  <si>
    <t>Instance</t>
  </si>
  <si>
    <t>LBBD</t>
  </si>
  <si>
    <t>Cplex</t>
  </si>
  <si>
    <t>Time Found</t>
  </si>
  <si>
    <t>LBBD_0(无）</t>
  </si>
  <si>
    <t>LBBD_1（有主问题割）</t>
  </si>
  <si>
    <t>LBBD_2</t>
  </si>
  <si>
    <t>LBBD_3</t>
  </si>
  <si>
    <t>z_{lb}</t>
  </si>
  <si>
    <t>z_{ub}</t>
  </si>
  <si>
    <t>GAP</t>
  </si>
  <si>
    <t>C6/90/2/1/1/50/3</t>
  </si>
  <si>
    <t>C6/180/2/1/1/50/3</t>
  </si>
  <si>
    <t>C6/270/2/1/1/50/3</t>
  </si>
  <si>
    <t>C6/90/3/1/1/50/3</t>
  </si>
  <si>
    <t>C6/180/3/1/1/50/3</t>
  </si>
  <si>
    <t>C6/270/3/1/1/50/3</t>
  </si>
  <si>
    <t>C6/90/4/1/1/50/3</t>
  </si>
  <si>
    <t>C6/180/4/1/1/50/3</t>
  </si>
  <si>
    <t>C6/270/4/1/1/50/3</t>
  </si>
  <si>
    <t>C6/90/5/1/1/50/3</t>
  </si>
  <si>
    <t>C6/180/5/1/1/50/3</t>
  </si>
  <si>
    <t>C6/270/5/1/1/50/3</t>
  </si>
  <si>
    <t>AVG</t>
  </si>
  <si>
    <t>C6/90/2/1/1/50/5</t>
  </si>
  <si>
    <t>C6/180/2/1/1/50/5</t>
  </si>
  <si>
    <t>C6/270/2/1/1/50/5</t>
  </si>
  <si>
    <t>C6/90/3/1/1/50/5</t>
  </si>
  <si>
    <t>C6/180/3/1/1/50/5</t>
  </si>
  <si>
    <t>C6/270/3/1/1/50/5</t>
  </si>
  <si>
    <t>C6/90/4/1/1/50/5</t>
  </si>
  <si>
    <t>C6/180/4/1/1/50/5</t>
  </si>
  <si>
    <t>C6/270/4/1/1/50/5</t>
  </si>
  <si>
    <t>C6/90/5/1/1/50/5</t>
  </si>
  <si>
    <t>C6/180/5/1/1/50/5</t>
  </si>
  <si>
    <t>C6/270/5/1/1/50/5</t>
  </si>
  <si>
    <t>R6/100/2/1/1/50/3</t>
  </si>
  <si>
    <t>R6/200/2/1/1/50/3</t>
  </si>
  <si>
    <t>R6/300/2/1/1/50/3</t>
  </si>
  <si>
    <t>R6/100/3/1/1/50/3</t>
  </si>
  <si>
    <t>R6/200/3/1/1/50/3</t>
  </si>
  <si>
    <t>R6/300/3/1/1/50/3</t>
  </si>
  <si>
    <t>R6/100/4/1/1/50/3</t>
  </si>
  <si>
    <t>R6/200/4/1/1/50/3</t>
  </si>
  <si>
    <t>R6/300/4/1/1/50/3</t>
  </si>
  <si>
    <t>R6/100/5/1/1/50/3</t>
  </si>
  <si>
    <t>R6/200/5/1/1/50/3</t>
  </si>
  <si>
    <t>R6/300/5/1/1/50/3</t>
  </si>
  <si>
    <t>R6/100/2/1/1/50/5</t>
  </si>
  <si>
    <t>R6/200/2/1/1/50/5</t>
  </si>
  <si>
    <t>R6/300/2/1/1/50/5</t>
  </si>
  <si>
    <t>R6/100/3/1/1/50/5</t>
  </si>
  <si>
    <t>R6/200/3/1/1/50/5</t>
  </si>
  <si>
    <t>R6/300/3/1/1/50/5</t>
  </si>
  <si>
    <t>R6/100/4/1/1/50/5</t>
  </si>
  <si>
    <t>R6/200/4/1/1/50/5</t>
  </si>
  <si>
    <t>R6/300/4/1/1/50/5</t>
  </si>
  <si>
    <t>R6/100/5/1/1/50/5</t>
  </si>
  <si>
    <t>R6/200/5/1/1/50/5</t>
  </si>
  <si>
    <t>R6/300/5/1/1/50/5</t>
  </si>
  <si>
    <t>C9/116/2/3/1/50</t>
  </si>
  <si>
    <t>C9/232/2/3/1/60</t>
  </si>
  <si>
    <t>C9/348/2/3/1/60</t>
  </si>
  <si>
    <t>C9/116/3/3/1/60</t>
  </si>
  <si>
    <t>C9/232/3/3/1/60</t>
  </si>
  <si>
    <t>C9/348/3/3/1/60</t>
  </si>
  <si>
    <t>C9/116/4/3/1/60</t>
  </si>
  <si>
    <t>C9/232/4/3/1/60</t>
  </si>
  <si>
    <t>C9/348/4/3/1/60</t>
  </si>
  <si>
    <t>C9/116/5/3/1/60</t>
  </si>
  <si>
    <t>C9/232/5/3/1/60</t>
  </si>
  <si>
    <t>C9/348/5/3/1/60</t>
  </si>
  <si>
    <t>C9/116/2/5/1/50</t>
  </si>
  <si>
    <t>C9/232/2/5/1/60</t>
  </si>
  <si>
    <t>C9/348/2/5/1/60</t>
  </si>
  <si>
    <t>C9/116/3/5/1/60</t>
  </si>
  <si>
    <t>C9/232/3/5/1/60</t>
  </si>
  <si>
    <t>C9/348/3/5/1/60</t>
  </si>
  <si>
    <t>C9/116/4/5/1/60</t>
  </si>
  <si>
    <t>C9/232/4/5/1/60</t>
  </si>
  <si>
    <t>C9/348/4/5/1/60</t>
  </si>
  <si>
    <t>C9/116/5/5/1/60</t>
  </si>
  <si>
    <t>C9/232/5/5/1/60</t>
  </si>
  <si>
    <t>C9/348/5/5/1/60</t>
  </si>
  <si>
    <t>R9/136/2/5/1/50</t>
  </si>
  <si>
    <t>R9/272/2/5/1/60</t>
  </si>
  <si>
    <t>R9/408/2/5/1/60</t>
  </si>
  <si>
    <t>R9/136/3/5/1/60</t>
  </si>
  <si>
    <t>R9/272/3/5/1/60</t>
  </si>
  <si>
    <t>R9/408/3/5/1/60</t>
  </si>
  <si>
    <t>R9/136/4/5/1/60</t>
  </si>
  <si>
    <t>R9/272/4/5/1/60</t>
  </si>
  <si>
    <t>R9/408/4/5/1/60</t>
  </si>
  <si>
    <t>R9/136/5/5/1/60</t>
  </si>
  <si>
    <t>R9/272/5/5/1/60</t>
  </si>
  <si>
    <t>R9/408/5/5/1/60</t>
  </si>
  <si>
    <t>R9/136/2/3/1/50</t>
  </si>
  <si>
    <t>R9/272/2/3/1/60</t>
  </si>
  <si>
    <t>R9/408/2/3/1/60</t>
  </si>
  <si>
    <t>R9/136/3/3/1/60</t>
  </si>
  <si>
    <t>R9/272/3/3/1/60</t>
  </si>
  <si>
    <t>R9/408/3/3/1/60</t>
  </si>
  <si>
    <t>R9/136/4/3/1/60</t>
  </si>
  <si>
    <t>R9/272/4/3/1/60</t>
  </si>
  <si>
    <t>R9/408/4/3/1/60</t>
  </si>
  <si>
    <t>R9/136/5/3/1/60</t>
  </si>
  <si>
    <t>R9/272/5/3/1/60</t>
  </si>
  <si>
    <t>R9/408/5/3/1/60</t>
  </si>
  <si>
    <t>AMA</t>
  </si>
  <si>
    <t>C25/180/2/3/1/120/3</t>
  </si>
  <si>
    <t>C25/360/2/3/1/120/3</t>
  </si>
  <si>
    <t>C25/540/2/3/1/120/3</t>
  </si>
  <si>
    <t>C25/180/3/3/1/120/3</t>
  </si>
  <si>
    <t>C25/360/3/3/1/120/3</t>
  </si>
  <si>
    <t>C25/540/3/3/1/120/3</t>
  </si>
  <si>
    <t>C25/180/4/3/1/120/3</t>
  </si>
  <si>
    <t>C25/360/4/3/1/120/3</t>
  </si>
  <si>
    <t>C25/540/4/3/1/120/3</t>
  </si>
  <si>
    <t>C25/180/5/3/1/120/3</t>
  </si>
  <si>
    <t>C25/360/5/3/1/120/3</t>
  </si>
  <si>
    <t>C25/540/5/3/1/120/3</t>
  </si>
  <si>
    <t>C25/180/2/3/1/120/5</t>
  </si>
  <si>
    <t>C25/360/2/3/1/120/5</t>
  </si>
  <si>
    <t>C25/540/2/3/1/120/5</t>
  </si>
  <si>
    <t>C25/180/3/3/1/120/5</t>
  </si>
  <si>
    <t>C25/360/3/3/1/120/5</t>
  </si>
  <si>
    <t>C25/540/3/3/1/120/5</t>
  </si>
  <si>
    <t>C25/180/4/3/1/120/5</t>
  </si>
  <si>
    <t>C25/360/4/3/1/120/5</t>
  </si>
  <si>
    <t>C25/540/4/3/1/120/5</t>
  </si>
  <si>
    <t>C25/180/5/3/1/120/5</t>
  </si>
  <si>
    <t>C25/360/5/3/1/120/5</t>
  </si>
  <si>
    <t>C25/540/5/3/1/120/5</t>
  </si>
  <si>
    <t>R25/240/2/3/1/120/3</t>
  </si>
  <si>
    <t>R25/480/2/3/1/120/3</t>
  </si>
  <si>
    <t>R25/720/2/3/1/120/3</t>
  </si>
  <si>
    <t>R25/240/3/3/1/120/3</t>
  </si>
  <si>
    <t>R25/480/3/3/1/120/3</t>
  </si>
  <si>
    <t>R25/720/3/3/1/120/3</t>
  </si>
  <si>
    <t>R25/240/4/3/1/120/3</t>
  </si>
  <si>
    <t>R25/480/4/3/1/120/3</t>
  </si>
  <si>
    <t>R25/720/4/3/1/120/3</t>
  </si>
  <si>
    <t>R25/240/5/3/1/120/3</t>
  </si>
  <si>
    <t>R25/480/5/3/1/120/3</t>
  </si>
  <si>
    <t>R25/720/5/3/1/120/3</t>
  </si>
  <si>
    <t>R25/240/2/3/1/120/5</t>
  </si>
  <si>
    <t>R25/480/2/3/1/120/5</t>
  </si>
  <si>
    <t>R25/720/2/3/1/120/5</t>
  </si>
  <si>
    <t>R25/240/3/3/1/120/5</t>
  </si>
  <si>
    <t>R25/480/3/3/1/120/5</t>
  </si>
  <si>
    <t>R25/720/3/3/1/120/5</t>
  </si>
  <si>
    <t>R25/240/4/3/1/120/5</t>
  </si>
  <si>
    <t>R25/480/4/3/1/120/5</t>
  </si>
  <si>
    <t>R25/720/4/3/1/120/5</t>
  </si>
  <si>
    <t>R25/240/5/3/1/120/5</t>
  </si>
  <si>
    <t>R25/480/5/3/1/120/5</t>
  </si>
  <si>
    <t>R25/720/5/3/1/120/5</t>
  </si>
  <si>
    <t>R50/300/2/5/1/150/3</t>
  </si>
  <si>
    <t>-</t>
  </si>
  <si>
    <t>R50/300/3/5/1/150/3</t>
  </si>
  <si>
    <t>R50/300/4/5/1/150/3</t>
  </si>
  <si>
    <t>R50/300/5/5/1/150/3</t>
  </si>
  <si>
    <t>R50/300/2/5/1/150/5</t>
  </si>
  <si>
    <t>R50/300/3/5/1/150/5</t>
  </si>
  <si>
    <t>R50/300/4/5/1/150/5</t>
  </si>
  <si>
    <t>R50/300/5/5/1/150/5</t>
  </si>
  <si>
    <t>R50/600/2/5/1/150/3</t>
  </si>
  <si>
    <t>R50/600/3/5/1/150/3</t>
  </si>
  <si>
    <t>R50/600/4/5/1/150/3</t>
  </si>
  <si>
    <t>R50/600/5/5/1/150/3</t>
  </si>
  <si>
    <t>R50/600/2/5/1/150/5</t>
  </si>
  <si>
    <t>R50/600/3/5/1/150/5</t>
  </si>
  <si>
    <t>R50/600/4/5/1/150/5</t>
  </si>
  <si>
    <t>R50/600/5/5/1/150/5</t>
  </si>
  <si>
    <t>R50/900/2/5/1/150/3</t>
  </si>
  <si>
    <t>R50/900/3/5/1/150/3</t>
  </si>
  <si>
    <t>R50/900/4/5/1/150/3</t>
  </si>
  <si>
    <t>R50/900/5/5/1/150/3</t>
  </si>
  <si>
    <t>R50/900/2/5/1/150/5</t>
  </si>
  <si>
    <t>R50/900/3/5/1/150/5</t>
  </si>
  <si>
    <t>R50/900/4/5/1/150/5</t>
  </si>
  <si>
    <t>R50/900/5/5/1/150/5</t>
  </si>
  <si>
    <t>instance</t>
  </si>
  <si>
    <t>z_lb</t>
  </si>
  <si>
    <t>C50/240/2/5/1/150/3</t>
  </si>
  <si>
    <t>C50/240/3/5/1/150/3</t>
  </si>
  <si>
    <t>C50/240/4/5/1/150/3</t>
  </si>
  <si>
    <t>C50/240/5/5/1/150/3</t>
  </si>
  <si>
    <t>C50/240/2/5/1/150/5</t>
  </si>
  <si>
    <t>C50/240/3/5/1/150/5</t>
  </si>
  <si>
    <t>C50/240/4/5/1/150/5</t>
  </si>
  <si>
    <t>C50/240/5/5/1/150/5</t>
  </si>
  <si>
    <t>C50/480/2/5/1/150/3</t>
  </si>
  <si>
    <t>C50/480/3/5/1/150/3</t>
  </si>
  <si>
    <t>C50/480/4/5/1/150/3</t>
  </si>
  <si>
    <t>C50/480/5/5/1/150/3</t>
  </si>
  <si>
    <t>C50/480/2/5/1/150/5</t>
  </si>
  <si>
    <t>C50/480/3/5/1/150/5</t>
  </si>
  <si>
    <t>C50/480/4/5/1/150/5</t>
  </si>
  <si>
    <t>C50/480/5/5/1/150/5</t>
  </si>
  <si>
    <t>C50/720/2/5/1/150/3</t>
  </si>
  <si>
    <t>C50/720/3/5/1/150/3</t>
  </si>
  <si>
    <t>C50/720/4/5/1/150/3</t>
  </si>
  <si>
    <t>C50/720/5/5/1/150/3</t>
  </si>
  <si>
    <t>C50/720/2/5/1/150/5</t>
  </si>
  <si>
    <t>C50/720/3/5/1/150/5</t>
  </si>
  <si>
    <t>C50/720/4/5/1/150/5</t>
  </si>
  <si>
    <t>C50/720/5/5/1/150/5</t>
  </si>
  <si>
    <t>服务时间=0.7</t>
  </si>
  <si>
    <t>服务时间0.5</t>
  </si>
  <si>
    <t>E6/80/2/3/1/50</t>
  </si>
  <si>
    <t>E6/160/2/3/1/40</t>
  </si>
  <si>
    <t>E6/240/2/3/1/40</t>
  </si>
  <si>
    <t>E6/80/3/3/1/40</t>
  </si>
  <si>
    <t>E6/160/3/3/1/40</t>
  </si>
  <si>
    <t>E6/240/3/3/1/40</t>
  </si>
  <si>
    <t>E6/80/4/3/1/40</t>
  </si>
  <si>
    <t>E6/160/4/3/1/40</t>
  </si>
  <si>
    <t>E6/240/4/3/1/40</t>
  </si>
  <si>
    <t>E6/80/5/3/1/40</t>
  </si>
  <si>
    <t>E6/160/5/3/1/40</t>
  </si>
  <si>
    <t>E6/240/5/3/1/40</t>
  </si>
  <si>
    <t>Avg</t>
  </si>
  <si>
    <t>E6/80/2/5/1/50</t>
  </si>
  <si>
    <t>E25/240/2/3/2/120</t>
  </si>
  <si>
    <t>E25/480/2/3/2/120</t>
  </si>
  <si>
    <t>E25/720/2/3/2/120</t>
  </si>
  <si>
    <t>E25/240/3/3/2/120</t>
  </si>
  <si>
    <t>E25/480/3/3/2/120</t>
  </si>
  <si>
    <t>E25/720/3/3/2/120</t>
  </si>
  <si>
    <t>E25/240/4/3/2/120</t>
  </si>
  <si>
    <t>E25/480/4/3/2/120</t>
  </si>
  <si>
    <t>E25/720/4/3/2/120</t>
  </si>
  <si>
    <t>E25/240/5/3/2/120</t>
  </si>
  <si>
    <t>E25/480/5/3/2/120</t>
  </si>
  <si>
    <t>E25/720/5/3/2/120</t>
  </si>
  <si>
    <t>E25/240/2/5/2/120</t>
  </si>
  <si>
    <t>E25/480/2/5/2/120</t>
  </si>
  <si>
    <t>E25/720/2/5/2/120</t>
  </si>
  <si>
    <t>E25/240/3/5/2/120</t>
  </si>
  <si>
    <t>E25/480/3/5/2/120</t>
  </si>
  <si>
    <t>E25/720/3/5/2/120</t>
  </si>
  <si>
    <t>E25/240/4/5/2/120</t>
  </si>
  <si>
    <t>E25/480/4/5/2/120</t>
  </si>
  <si>
    <t>E25/720/4/5/2/120</t>
  </si>
  <si>
    <t>E25/240/5/5/2/120</t>
  </si>
  <si>
    <t>E25/480/5/5/2/120</t>
  </si>
  <si>
    <t>E25/720/5/5/2/120</t>
  </si>
  <si>
    <t>MVRPD-VST-RR</t>
  </si>
  <si>
    <t>Independent MSB (Myopic)</t>
  </si>
  <si>
    <t>间隔损失</t>
  </si>
  <si>
    <t>不考虑最优间隔</t>
  </si>
  <si>
    <t>E9/100/2/3/1/50</t>
  </si>
  <si>
    <t>E9/200/2/3/1/50</t>
  </si>
  <si>
    <t>E9/300/2/3/1/50</t>
  </si>
  <si>
    <t>E9/100/3/3/1/50</t>
  </si>
  <si>
    <t>E9/200/3/3/1/50</t>
  </si>
  <si>
    <t>E9/300/3/3/1/50</t>
  </si>
  <si>
    <t>E9/100/4/3/1/50</t>
  </si>
  <si>
    <t>E9/200/4/3/1/50</t>
  </si>
  <si>
    <t>E9/300/4/3/1/50</t>
  </si>
  <si>
    <t>E9/100/5/3/1/50</t>
  </si>
  <si>
    <t>E9/200/5/3/1/50</t>
  </si>
  <si>
    <t>E9/300/5/3/1/50</t>
  </si>
  <si>
    <t>E9/100/2/5/1/50</t>
  </si>
  <si>
    <t>E9/200/2/5/1/50</t>
  </si>
  <si>
    <t>E9/300/2/5/1/50</t>
  </si>
  <si>
    <t>E9/100/3/5/1/50</t>
  </si>
  <si>
    <t>E9/200/3/5/1/50</t>
  </si>
  <si>
    <t>E9/300/3/5/1/50</t>
  </si>
  <si>
    <t>E9/100/4/5/1/50</t>
  </si>
  <si>
    <t>E9/200/4/5/1/50</t>
  </si>
  <si>
    <t>E9/300/4/5/1/50</t>
  </si>
  <si>
    <t>E9/100/5/5/1/50</t>
  </si>
  <si>
    <t>E9/200/5/5/1/50</t>
  </si>
  <si>
    <t>E9/300/5/5/1/50</t>
  </si>
  <si>
    <t>\DETEA=2</t>
  </si>
  <si>
    <t>服务时间平均</t>
  </si>
  <si>
    <t>\DETEA=1</t>
  </si>
  <si>
    <t>\DETEA=3</t>
  </si>
  <si>
    <t>z_{lb} Found time(s)</t>
  </si>
  <si>
    <t>E9/100/2/4/1/50</t>
  </si>
  <si>
    <t>E9/200/2/4/1/50</t>
  </si>
  <si>
    <t>E9/300/2/4/1/50</t>
  </si>
  <si>
    <t>E9/100/3/4/1/50</t>
  </si>
  <si>
    <t>E9/200/3/4/1/50</t>
  </si>
  <si>
    <t>E9/300/3/4/1/50</t>
  </si>
  <si>
    <t>E9/100/4/4/1/50</t>
  </si>
  <si>
    <t>E9/200/4/4/1/50</t>
  </si>
  <si>
    <t>E9/300/4/4/1/50</t>
  </si>
  <si>
    <t>E9/100/5/4/1/50</t>
  </si>
  <si>
    <t>E9/200/5/4/1/50</t>
  </si>
  <si>
    <t>E9/300/5/4/1/50</t>
  </si>
  <si>
    <t>C9/116/2/4/1/50</t>
  </si>
  <si>
    <t>C9/232/2/4/1/60</t>
  </si>
  <si>
    <t>C9/348/2/4/1/60</t>
  </si>
  <si>
    <t>C9/116/3/4/1/60</t>
  </si>
  <si>
    <t>C9/232/3/4/1/60</t>
  </si>
  <si>
    <t>C9/348/3/4/1/60</t>
  </si>
  <si>
    <t>C9/116/4/4/1/60</t>
  </si>
  <si>
    <t>E9/116/4/5/1/50</t>
  </si>
  <si>
    <t>C9/232/4/4/1/60</t>
  </si>
  <si>
    <t>E9/232/4/5/1/50</t>
  </si>
  <si>
    <t>C9/348/4/4/1/60</t>
  </si>
  <si>
    <t>E9/348/4/5/1/50</t>
  </si>
  <si>
    <t>C9/116/5/4/1/60</t>
  </si>
  <si>
    <t>E9/116/5/5/1/50</t>
  </si>
  <si>
    <t>C9/232/5/4/1/60</t>
  </si>
  <si>
    <t>E9/232/5/5/1/50</t>
  </si>
  <si>
    <t>C9/348/5/4/1/60</t>
  </si>
  <si>
    <t>E9/348/5/5/1/50</t>
  </si>
  <si>
    <t>C9/116/2/6/1/50</t>
  </si>
  <si>
    <t>E9/100/2/6/1/50</t>
  </si>
  <si>
    <t>C9/232/2/6/1/60</t>
  </si>
  <si>
    <t>E9/200/2/6/1/60</t>
  </si>
  <si>
    <t>C9/348/2/6/1/60</t>
  </si>
  <si>
    <t>E9/300/2/6/1/60</t>
  </si>
  <si>
    <t>C9/116/3/6/1/60</t>
  </si>
  <si>
    <t>E9/100/3/4/1/60</t>
  </si>
  <si>
    <t>C9/232/3/6/1/60</t>
  </si>
  <si>
    <t>E9/200/3/6/1/60</t>
  </si>
  <si>
    <t>C9/348/3/6/1/60</t>
  </si>
  <si>
    <t>E9/300/3/6/1/60</t>
  </si>
  <si>
    <t>C9/116/4/6/1/60</t>
  </si>
  <si>
    <t>E9/100/4/6/1/60</t>
  </si>
  <si>
    <t>C9/232/4/6/1/60</t>
  </si>
  <si>
    <t>E9/200/4/6/1/60</t>
  </si>
  <si>
    <t>C9/348/4/6/1/60</t>
  </si>
  <si>
    <t>E9/300/4/6/1/60</t>
  </si>
  <si>
    <t>C9/116/5/6/1/60</t>
  </si>
  <si>
    <t>E9/100/5/6/1/60</t>
  </si>
  <si>
    <t>C9/232/5/6/1/60</t>
  </si>
  <si>
    <t>E9/200/5/6/1/60</t>
  </si>
  <si>
    <t>C9/348/5/6/1/60</t>
  </si>
  <si>
    <t>E9/300/5/6/1/60</t>
  </si>
  <si>
    <t>C9/116/2/3/1/60</t>
  </si>
  <si>
    <t>C9/116/2/3/1/40</t>
  </si>
  <si>
    <t>C9/232/2/3/1/50</t>
  </si>
  <si>
    <t>C9/232/2/3/1/40</t>
  </si>
  <si>
    <t>C9/348/2/3/1/50</t>
  </si>
  <si>
    <t>C9/348/2/3/1/40</t>
  </si>
  <si>
    <t>C9/116/3/3/1/50</t>
  </si>
  <si>
    <t>C9/116/3/3/1/40</t>
  </si>
  <si>
    <t>C9/232/3/3/1/50</t>
  </si>
  <si>
    <t>C9/232/3/3/1/40</t>
  </si>
  <si>
    <t>C9/348/3/3/1/50</t>
  </si>
  <si>
    <t>C9/348/3/3/1/40</t>
  </si>
  <si>
    <t>C9/116/4/3/1/50</t>
  </si>
  <si>
    <t>C9/116/4/3/1/40</t>
  </si>
  <si>
    <t>C9/232/4/3/1/50</t>
  </si>
  <si>
    <t>C9/232/4/3/1/40</t>
  </si>
  <si>
    <t>C9/348/4/3/1/50</t>
  </si>
  <si>
    <t>C9/348/4/3/1/40</t>
  </si>
  <si>
    <t>C9/116/5/3/1/50</t>
  </si>
  <si>
    <t>C9/116/5/3/1/40</t>
  </si>
  <si>
    <t>C9/232/5/3/1/50</t>
  </si>
  <si>
    <t>C9/232/5/3/1/40</t>
  </si>
  <si>
    <t>C9/348/5/3/1/50</t>
  </si>
  <si>
    <t>C9/348/5/3/1/40</t>
  </si>
  <si>
    <t>C9/116/2/5/1/60</t>
  </si>
  <si>
    <t>C9/116/2/5/1/40</t>
  </si>
  <si>
    <t>C9/232/2/5/1/50</t>
  </si>
  <si>
    <t>C9/232/2/5/1/40</t>
  </si>
  <si>
    <t>C9/348/2/5/1/50</t>
  </si>
  <si>
    <t>C9/348/2/5/1/40</t>
  </si>
  <si>
    <t>C9/116/3/5/1/50</t>
  </si>
  <si>
    <t>C9/116/3/5/1/40</t>
  </si>
  <si>
    <t>C9/232/3/5/1/50</t>
  </si>
  <si>
    <t>C9/232/3/5/1/40</t>
  </si>
  <si>
    <t>C9/348/3/5/1/50</t>
  </si>
  <si>
    <t>C9/348/3/5/1/40</t>
  </si>
  <si>
    <t>C9/116/4/5/1/50</t>
  </si>
  <si>
    <t>C9/116/4/5/1/40</t>
  </si>
  <si>
    <t>C9/232/4/5/1/50</t>
  </si>
  <si>
    <t>C9/232/4/5/1/40</t>
  </si>
  <si>
    <t>C9/348/4/5/1/50</t>
  </si>
  <si>
    <t>C9/348/4/5/1/40</t>
  </si>
  <si>
    <t>C9/116/5/5/1/50</t>
  </si>
  <si>
    <t>C9/116/5/5/1/40</t>
  </si>
  <si>
    <t>C9/232/5/5/1/50</t>
  </si>
  <si>
    <t>C9/232/5/5/1/40</t>
  </si>
  <si>
    <t>C9/348/5/5/1/50</t>
  </si>
  <si>
    <t>C9/348/5/5/1/40</t>
  </si>
  <si>
    <t>|N|</t>
  </si>
  <si>
    <t>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</si>
</sst>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57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Fill="1" applyAlignment="1">
      <alignment vertical="center"/>
    </xf>
    <xf numFmtId="0" fontId="0" fillId="0" borderId="0" xfId="0" applyFill="1">
      <alignment vertical="center"/>
    </xf>
    <xf numFmtId="0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10" fontId="0" fillId="0" borderId="0" xfId="3" applyNumberFormat="1">
      <alignment vertical="center"/>
    </xf>
    <xf numFmtId="0" fontId="0" fillId="2" borderId="0" xfId="0" applyFill="1" applyAlignment="1">
      <alignment horizontal="left" vertical="center"/>
    </xf>
    <xf numFmtId="10" fontId="0" fillId="2" borderId="0" xfId="3" applyNumberFormat="1" applyFill="1">
      <alignment vertical="center"/>
    </xf>
    <xf numFmtId="0" fontId="0" fillId="0" borderId="0" xfId="0" applyFill="1" applyAlignment="1">
      <alignment vertical="center"/>
    </xf>
    <xf numFmtId="0" fontId="0" fillId="0" borderId="0" xfId="0" applyFill="1">
      <alignment vertical="center"/>
    </xf>
    <xf numFmtId="0" fontId="0" fillId="0" borderId="0" xfId="0" applyNumberFormat="1" applyFill="1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176" fontId="1" fillId="0" borderId="0" xfId="0" applyNumberFormat="1" applyFont="1" applyFill="1" applyAlignment="1">
      <alignment vertical="center"/>
    </xf>
    <xf numFmtId="0" fontId="0" fillId="2" borderId="0" xfId="0" applyFill="1" applyAlignment="1">
      <alignment vertical="center"/>
    </xf>
    <xf numFmtId="10" fontId="0" fillId="0" borderId="0" xfId="3" applyNumberFormat="1" applyFill="1">
      <alignment vertical="center"/>
    </xf>
    <xf numFmtId="176" fontId="0" fillId="0" borderId="0" xfId="0" applyNumberForma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>
      <alignment vertical="center"/>
    </xf>
    <xf numFmtId="0" fontId="0" fillId="0" borderId="0" xfId="0" applyNumberFormat="1" applyFill="1" applyAlignment="1">
      <alignment vertical="center"/>
    </xf>
    <xf numFmtId="176" fontId="0" fillId="2" borderId="0" xfId="0" applyNumberFormat="1" applyFill="1">
      <alignment vertical="center"/>
    </xf>
    <xf numFmtId="0" fontId="0" fillId="0" borderId="0" xfId="0" applyNumberFormat="1" applyFill="1">
      <alignment vertical="center"/>
    </xf>
    <xf numFmtId="0" fontId="0" fillId="0" borderId="0" xfId="0" applyFont="1" applyFill="1">
      <alignment vertical="center"/>
    </xf>
    <xf numFmtId="0" fontId="1" fillId="0" borderId="0" xfId="0" applyFont="1" applyFill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>
      <alignment vertical="center"/>
    </xf>
    <xf numFmtId="0" fontId="1" fillId="0" borderId="0" xfId="0" applyNumberFormat="1" applyFont="1" applyFill="1">
      <alignment vertical="center"/>
    </xf>
    <xf numFmtId="176" fontId="0" fillId="0" borderId="0" xfId="0" applyNumberFormat="1" applyFill="1">
      <alignment vertical="center"/>
    </xf>
    <xf numFmtId="0" fontId="1" fillId="0" borderId="0" xfId="0" applyFont="1" applyFill="1">
      <alignment vertical="center"/>
    </xf>
    <xf numFmtId="0" fontId="0" fillId="0" borderId="0" xfId="0" applyNumberFormat="1" applyFill="1">
      <alignment vertical="center"/>
    </xf>
    <xf numFmtId="0" fontId="0" fillId="0" borderId="0" xfId="0" applyNumberFormat="1">
      <alignment vertical="center"/>
    </xf>
    <xf numFmtId="0" fontId="0" fillId="0" borderId="0" xfId="0" applyFont="1" applyFill="1">
      <alignment vertical="center"/>
    </xf>
    <xf numFmtId="0" fontId="0" fillId="3" borderId="0" xfId="0" applyNumberFormat="1" applyFill="1">
      <alignment vertical="center"/>
    </xf>
    <xf numFmtId="0" fontId="0" fillId="3" borderId="0" xfId="0" applyFill="1">
      <alignment vertical="center"/>
    </xf>
    <xf numFmtId="0" fontId="0" fillId="2" borderId="0" xfId="0" applyNumberFormat="1" applyFill="1">
      <alignment vertical="center"/>
    </xf>
    <xf numFmtId="0" fontId="0" fillId="0" borderId="0" xfId="0" applyFont="1" applyFill="1" applyAlignment="1"/>
    <xf numFmtId="0" fontId="0" fillId="3" borderId="0" xfId="0" applyFont="1" applyFill="1" applyAlignment="1"/>
    <xf numFmtId="0" fontId="0" fillId="3" borderId="0" xfId="0" applyNumberFormat="1" applyFont="1" applyFill="1" applyAlignment="1"/>
    <xf numFmtId="10" fontId="0" fillId="3" borderId="0" xfId="3" applyNumberFormat="1" applyFont="1" applyFill="1" applyAlignment="1"/>
    <xf numFmtId="10" fontId="0" fillId="3" borderId="0" xfId="3" applyNumberFormat="1" applyFill="1">
      <alignment vertical="center"/>
    </xf>
    <xf numFmtId="0" fontId="0" fillId="0" borderId="0" xfId="0" applyNumberFormat="1" applyFont="1" applyFill="1" applyAlignment="1"/>
    <xf numFmtId="10" fontId="0" fillId="0" borderId="0" xfId="3" applyNumberFormat="1" applyFont="1" applyFill="1" applyAlignment="1"/>
    <xf numFmtId="0" fontId="0" fillId="0" borderId="0" xfId="0" applyNumberFormat="1" applyFill="1" applyAlignment="1">
      <alignment horizontal="right" vertical="center"/>
    </xf>
    <xf numFmtId="176" fontId="0" fillId="3" borderId="0" xfId="0" applyNumberFormat="1" applyFill="1">
      <alignment vertical="center"/>
    </xf>
    <xf numFmtId="0" fontId="0" fillId="3" borderId="0" xfId="0" applyFill="1" applyAlignment="1">
      <alignment vertical="center"/>
    </xf>
    <xf numFmtId="0" fontId="0" fillId="3" borderId="0" xfId="0" applyNumberFormat="1" applyFill="1" applyAlignment="1">
      <alignment vertical="center"/>
    </xf>
    <xf numFmtId="10" fontId="0" fillId="0" borderId="0" xfId="3" applyNumberFormat="1" applyFill="1">
      <alignment vertical="center"/>
    </xf>
    <xf numFmtId="176" fontId="0" fillId="0" borderId="0" xfId="0" applyNumberFormat="1">
      <alignment vertical="center"/>
    </xf>
    <xf numFmtId="10" fontId="0" fillId="0" borderId="0" xfId="3" applyNumberFormat="1" applyFill="1" applyAlignment="1">
      <alignment vertical="center"/>
    </xf>
    <xf numFmtId="0" fontId="1" fillId="0" borderId="0" xfId="0" applyNumberFormat="1" applyFont="1" applyFill="1" applyAlignment="1">
      <alignment vertical="center"/>
    </xf>
    <xf numFmtId="176" fontId="0" fillId="0" borderId="0" xfId="3" applyNumberFormat="1" applyFill="1">
      <alignment vertical="center"/>
    </xf>
    <xf numFmtId="0" fontId="0" fillId="0" borderId="0" xfId="3" applyNumberFormat="1" applyFill="1">
      <alignment vertical="center"/>
    </xf>
    <xf numFmtId="177" fontId="0" fillId="0" borderId="0" xfId="0" applyNumberFormat="1" applyFill="1" applyAlignment="1">
      <alignment vertical="center"/>
    </xf>
    <xf numFmtId="10" fontId="1" fillId="0" borderId="0" xfId="3" applyNumberFormat="1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59"/>
  <sheetViews>
    <sheetView topLeftCell="A25" workbookViewId="0">
      <selection activeCell="J57" sqref="J57"/>
    </sheetView>
  </sheetViews>
  <sheetFormatPr defaultColWidth="8.72727272727273" defaultRowHeight="14"/>
  <cols>
    <col min="1" max="1" width="21.9090909090909" customWidth="1"/>
    <col min="2" max="2" width="11" customWidth="1"/>
    <col min="3" max="3" width="12.8181818181818"/>
    <col min="4" max="4" width="12.9090909090909" customWidth="1"/>
    <col min="5" max="5" width="13.2727272727273" customWidth="1"/>
    <col min="6" max="7" width="12.8181818181818"/>
    <col min="8" max="8" width="8" customWidth="1"/>
    <col min="9" max="9" width="11.4545454545455" customWidth="1"/>
    <col min="10" max="10" width="11.5454545454545" customWidth="1"/>
    <col min="11" max="11" width="12.8181818181818"/>
    <col min="12" max="12" width="13.4545454545455" customWidth="1"/>
    <col min="13" max="13" width="9.18181818181818" customWidth="1"/>
    <col min="14" max="14" width="4" customWidth="1"/>
    <col min="15" max="16" width="12.8181818181818"/>
    <col min="17" max="17" width="12.9090909090909" customWidth="1"/>
    <col min="18" max="18" width="9.18181818181818" customWidth="1"/>
    <col min="19" max="20" width="12.8181818181818"/>
    <col min="21" max="21" width="8.45454545454546" customWidth="1"/>
    <col min="22" max="22" width="10.1818181818182" customWidth="1"/>
    <col min="23" max="24" width="12.8181818181818"/>
    <col min="25" max="25" width="10.4545454545455" customWidth="1"/>
    <col min="26" max="26" width="11.7272727272727" customWidth="1"/>
  </cols>
  <sheetData>
    <row r="1" spans="1:26">
      <c r="A1" s="2" t="s">
        <v>0</v>
      </c>
      <c r="B1" s="2" t="s">
        <v>1</v>
      </c>
      <c r="C1" s="2"/>
      <c r="E1" s="2"/>
      <c r="F1" s="2" t="s">
        <v>2</v>
      </c>
      <c r="G1" s="2"/>
      <c r="H1" s="2" t="s">
        <v>3</v>
      </c>
      <c r="I1" s="2"/>
      <c r="J1" s="2" t="s">
        <v>4</v>
      </c>
      <c r="K1" s="2"/>
      <c r="L1" s="2"/>
      <c r="M1" s="2" t="s">
        <v>3</v>
      </c>
      <c r="N1" s="2"/>
      <c r="O1" s="2" t="s">
        <v>5</v>
      </c>
      <c r="P1" s="2"/>
      <c r="Q1" s="2"/>
      <c r="R1" s="2"/>
      <c r="S1" s="2" t="s">
        <v>6</v>
      </c>
      <c r="T1" s="2"/>
      <c r="U1" s="2"/>
      <c r="V1" s="2"/>
      <c r="W1" s="2" t="s">
        <v>7</v>
      </c>
      <c r="X1" s="2"/>
      <c r="Y1" s="2"/>
      <c r="Z1" s="2"/>
    </row>
    <row r="2" spans="1:26">
      <c r="A2" s="3"/>
      <c r="B2" s="2" t="s">
        <v>8</v>
      </c>
      <c r="C2" s="2" t="s">
        <v>9</v>
      </c>
      <c r="D2" s="2" t="s">
        <v>3</v>
      </c>
      <c r="E2" s="2" t="s">
        <v>10</v>
      </c>
      <c r="F2" s="2" t="s">
        <v>8</v>
      </c>
      <c r="G2" s="2" t="s">
        <v>9</v>
      </c>
      <c r="H2" s="2"/>
      <c r="I2" s="2"/>
      <c r="J2" s="2" t="s">
        <v>8</v>
      </c>
      <c r="K2" s="2" t="s">
        <v>9</v>
      </c>
      <c r="L2" s="2" t="s">
        <v>10</v>
      </c>
      <c r="M2" s="2"/>
      <c r="N2" s="2"/>
      <c r="O2" s="2" t="s">
        <v>8</v>
      </c>
      <c r="P2" s="2" t="s">
        <v>9</v>
      </c>
      <c r="Q2" s="2" t="s">
        <v>10</v>
      </c>
      <c r="R2" s="2" t="s">
        <v>3</v>
      </c>
      <c r="S2" s="2" t="s">
        <v>8</v>
      </c>
      <c r="T2" s="2" t="s">
        <v>9</v>
      </c>
      <c r="U2" s="2" t="s">
        <v>10</v>
      </c>
      <c r="V2" s="2" t="s">
        <v>3</v>
      </c>
      <c r="W2" s="2" t="s">
        <v>8</v>
      </c>
      <c r="X2" s="2" t="s">
        <v>9</v>
      </c>
      <c r="Y2" s="2" t="s">
        <v>10</v>
      </c>
      <c r="Z2" s="2" t="s">
        <v>3</v>
      </c>
    </row>
    <row r="3" spans="1:26">
      <c r="A3" s="2" t="s">
        <v>11</v>
      </c>
      <c r="B3" s="12">
        <v>16.827</v>
      </c>
      <c r="C3" s="12">
        <v>16.827</v>
      </c>
      <c r="D3" s="55">
        <v>15</v>
      </c>
      <c r="E3" s="56">
        <f t="shared" ref="E3:E14" si="0">(C3-B3)/C3</f>
        <v>0</v>
      </c>
      <c r="F3" s="12">
        <v>16.827</v>
      </c>
      <c r="G3" s="12">
        <v>16.827</v>
      </c>
      <c r="H3" s="2">
        <v>51.7</v>
      </c>
      <c r="I3" s="56">
        <f t="shared" ref="I3:I25" si="1">(G3-F3)/G3</f>
        <v>0</v>
      </c>
      <c r="J3" s="12">
        <v>16.827</v>
      </c>
      <c r="K3" s="12">
        <v>16.827</v>
      </c>
      <c r="L3" s="51">
        <f t="shared" ref="L3:L14" si="2">(K3-J3)/K3</f>
        <v>0</v>
      </c>
      <c r="M3" s="22">
        <v>47.15</v>
      </c>
      <c r="O3" s="12">
        <v>16.827</v>
      </c>
      <c r="P3" s="12">
        <v>16.827</v>
      </c>
      <c r="Q3" s="6">
        <f t="shared" ref="Q3:Q14" si="3">(P3-O3)/P3</f>
        <v>0</v>
      </c>
      <c r="R3" s="33">
        <v>30.88</v>
      </c>
      <c r="S3" s="12">
        <v>16.827</v>
      </c>
      <c r="T3" s="12">
        <v>16.827</v>
      </c>
      <c r="U3" s="6">
        <f t="shared" ref="U3:U14" si="4">(T3-S3)/T3</f>
        <v>0</v>
      </c>
      <c r="V3" s="33">
        <v>39.98</v>
      </c>
      <c r="W3" s="12">
        <v>16.827</v>
      </c>
      <c r="X3" s="12">
        <v>16.827</v>
      </c>
      <c r="Y3" s="6">
        <f t="shared" ref="Y3:Y14" si="5">(X3-W3)/X3</f>
        <v>0</v>
      </c>
      <c r="Z3" s="33">
        <v>33.75</v>
      </c>
    </row>
    <row r="4" spans="1:26">
      <c r="A4" s="2" t="s">
        <v>12</v>
      </c>
      <c r="B4" s="12">
        <v>17.4817</v>
      </c>
      <c r="C4" s="12">
        <v>17.4817</v>
      </c>
      <c r="D4" s="22">
        <v>23.43</v>
      </c>
      <c r="E4" s="56">
        <f t="shared" si="0"/>
        <v>0</v>
      </c>
      <c r="F4" s="12">
        <v>17.4817</v>
      </c>
      <c r="G4" s="12">
        <v>17.4817</v>
      </c>
      <c r="H4" s="2">
        <v>66.53</v>
      </c>
      <c r="I4" s="56">
        <f t="shared" si="1"/>
        <v>0</v>
      </c>
      <c r="J4" s="12">
        <v>17.4817</v>
      </c>
      <c r="K4" s="12">
        <v>17.4817</v>
      </c>
      <c r="L4" s="51">
        <f t="shared" si="2"/>
        <v>0</v>
      </c>
      <c r="M4" s="22">
        <v>35.48</v>
      </c>
      <c r="O4" s="12">
        <v>17.4817</v>
      </c>
      <c r="P4" s="12">
        <v>17.4817</v>
      </c>
      <c r="Q4" s="6">
        <f t="shared" si="3"/>
        <v>0</v>
      </c>
      <c r="R4" s="33">
        <v>29.02</v>
      </c>
      <c r="S4" s="12">
        <v>17.4817</v>
      </c>
      <c r="T4" s="12">
        <v>17.4817</v>
      </c>
      <c r="U4" s="6">
        <f t="shared" si="4"/>
        <v>0</v>
      </c>
      <c r="V4" s="33">
        <v>53.35</v>
      </c>
      <c r="W4" s="12">
        <v>17.4817</v>
      </c>
      <c r="X4" s="12">
        <v>17.4817</v>
      </c>
      <c r="Y4" s="6">
        <f t="shared" si="5"/>
        <v>0</v>
      </c>
      <c r="Z4" s="33">
        <v>29.09</v>
      </c>
    </row>
    <row r="5" spans="1:26">
      <c r="A5" s="2" t="s">
        <v>13</v>
      </c>
      <c r="B5" s="12">
        <v>17.4817</v>
      </c>
      <c r="C5" s="12">
        <v>17.4817</v>
      </c>
      <c r="D5" s="22">
        <v>12.21</v>
      </c>
      <c r="E5" s="56">
        <f t="shared" si="0"/>
        <v>0</v>
      </c>
      <c r="F5" s="12">
        <v>17.4817</v>
      </c>
      <c r="G5" s="12">
        <v>17.4817</v>
      </c>
      <c r="H5" s="2">
        <v>86.97</v>
      </c>
      <c r="I5" s="56">
        <f t="shared" si="1"/>
        <v>0</v>
      </c>
      <c r="J5" s="12">
        <v>17.4817</v>
      </c>
      <c r="K5" s="12">
        <v>17.4817</v>
      </c>
      <c r="L5" s="51">
        <f t="shared" si="2"/>
        <v>0</v>
      </c>
      <c r="M5" s="22">
        <v>69.05</v>
      </c>
      <c r="O5" s="12">
        <v>17.4817</v>
      </c>
      <c r="P5" s="12">
        <v>17.4817</v>
      </c>
      <c r="Q5" s="6">
        <f t="shared" si="3"/>
        <v>0</v>
      </c>
      <c r="R5" s="33">
        <v>30.58</v>
      </c>
      <c r="S5" s="12">
        <v>17.4817</v>
      </c>
      <c r="T5" s="12">
        <v>17.4817</v>
      </c>
      <c r="U5" s="6">
        <f t="shared" si="4"/>
        <v>0</v>
      </c>
      <c r="V5" s="33">
        <v>82.53</v>
      </c>
      <c r="W5" s="12">
        <v>17.4817</v>
      </c>
      <c r="X5" s="12">
        <v>17.4817</v>
      </c>
      <c r="Y5" s="6">
        <f t="shared" si="5"/>
        <v>0</v>
      </c>
      <c r="Z5" s="33">
        <v>36.45</v>
      </c>
    </row>
    <row r="6" spans="1:26">
      <c r="A6" s="2" t="s">
        <v>14</v>
      </c>
      <c r="B6" s="12">
        <v>17.3138</v>
      </c>
      <c r="C6" s="12">
        <v>17.3138</v>
      </c>
      <c r="D6" s="22">
        <v>35.37</v>
      </c>
      <c r="E6" s="56">
        <f t="shared" si="0"/>
        <v>0</v>
      </c>
      <c r="F6" s="12">
        <v>17.3138</v>
      </c>
      <c r="G6" s="12">
        <v>17.3138</v>
      </c>
      <c r="H6" s="2">
        <v>231.66</v>
      </c>
      <c r="I6" s="56">
        <f t="shared" si="1"/>
        <v>0</v>
      </c>
      <c r="J6" s="12">
        <v>17.3138</v>
      </c>
      <c r="K6" s="12">
        <v>17.3138</v>
      </c>
      <c r="L6" s="51">
        <f t="shared" si="2"/>
        <v>0</v>
      </c>
      <c r="M6" s="22">
        <v>70.34</v>
      </c>
      <c r="O6" s="12">
        <v>17.3138</v>
      </c>
      <c r="P6" s="12">
        <v>17.3138</v>
      </c>
      <c r="Q6" s="6">
        <f t="shared" si="3"/>
        <v>0</v>
      </c>
      <c r="R6" s="33">
        <v>36.29</v>
      </c>
      <c r="S6" s="12">
        <v>17.3138</v>
      </c>
      <c r="T6" s="12">
        <v>17.3138</v>
      </c>
      <c r="U6" s="6">
        <f t="shared" si="4"/>
        <v>0</v>
      </c>
      <c r="V6" s="33">
        <v>186.71</v>
      </c>
      <c r="W6" s="12">
        <v>17.3138</v>
      </c>
      <c r="X6" s="12">
        <v>17.3138</v>
      </c>
      <c r="Y6" s="6">
        <f t="shared" si="5"/>
        <v>0</v>
      </c>
      <c r="Z6" s="33">
        <v>36.48</v>
      </c>
    </row>
    <row r="7" spans="1:26">
      <c r="A7" s="2" t="s">
        <v>15</v>
      </c>
      <c r="B7" s="12">
        <v>17.9841</v>
      </c>
      <c r="C7" s="12">
        <v>17.9841</v>
      </c>
      <c r="D7" s="22">
        <v>24.35</v>
      </c>
      <c r="E7" s="56">
        <f t="shared" si="0"/>
        <v>0</v>
      </c>
      <c r="F7" s="12">
        <v>17.9841</v>
      </c>
      <c r="G7" s="12">
        <v>17.9841</v>
      </c>
      <c r="H7" s="2">
        <v>341.99</v>
      </c>
      <c r="I7" s="56">
        <f t="shared" si="1"/>
        <v>0</v>
      </c>
      <c r="J7" s="12">
        <v>17.9841</v>
      </c>
      <c r="K7" s="12">
        <v>17.9841</v>
      </c>
      <c r="L7" s="51">
        <f t="shared" si="2"/>
        <v>0</v>
      </c>
      <c r="M7" s="22">
        <v>55.27</v>
      </c>
      <c r="O7" s="12">
        <v>17.9841</v>
      </c>
      <c r="P7" s="12">
        <v>17.9841</v>
      </c>
      <c r="Q7" s="6">
        <f t="shared" si="3"/>
        <v>0</v>
      </c>
      <c r="R7" s="33">
        <v>33.63</v>
      </c>
      <c r="S7" s="12">
        <v>17.9841</v>
      </c>
      <c r="T7" s="12">
        <v>17.9841</v>
      </c>
      <c r="U7" s="6">
        <f t="shared" si="4"/>
        <v>0</v>
      </c>
      <c r="V7" s="33">
        <v>301.68</v>
      </c>
      <c r="W7" s="12">
        <v>17.9841</v>
      </c>
      <c r="X7" s="12">
        <v>17.9841</v>
      </c>
      <c r="Y7" s="6">
        <f t="shared" si="5"/>
        <v>0</v>
      </c>
      <c r="Z7" s="33">
        <v>36.82</v>
      </c>
    </row>
    <row r="8" spans="1:26">
      <c r="A8" s="2" t="s">
        <v>16</v>
      </c>
      <c r="B8" s="12">
        <v>17.9841</v>
      </c>
      <c r="C8" s="12">
        <v>17.9841</v>
      </c>
      <c r="D8" s="22">
        <v>41.68</v>
      </c>
      <c r="E8" s="56">
        <f t="shared" si="0"/>
        <v>0</v>
      </c>
      <c r="F8" s="12">
        <v>17.9841</v>
      </c>
      <c r="G8" s="12">
        <v>17.9841</v>
      </c>
      <c r="H8" s="19">
        <v>402.7</v>
      </c>
      <c r="I8" s="56">
        <f t="shared" si="1"/>
        <v>0</v>
      </c>
      <c r="J8" s="12">
        <v>17.9841</v>
      </c>
      <c r="K8" s="12">
        <v>17.9841</v>
      </c>
      <c r="L8" s="51">
        <f t="shared" si="2"/>
        <v>0</v>
      </c>
      <c r="M8" s="22">
        <v>82.92</v>
      </c>
      <c r="O8" s="12">
        <v>17.9841</v>
      </c>
      <c r="P8" s="12">
        <v>17.9841</v>
      </c>
      <c r="Q8" s="6">
        <f t="shared" si="3"/>
        <v>0</v>
      </c>
      <c r="R8" s="33">
        <v>50.58</v>
      </c>
      <c r="S8" s="12">
        <v>17.9841</v>
      </c>
      <c r="T8" s="12">
        <v>17.9841</v>
      </c>
      <c r="U8" s="6">
        <f t="shared" si="4"/>
        <v>0</v>
      </c>
      <c r="V8" s="33">
        <v>328.05</v>
      </c>
      <c r="W8" s="12">
        <v>17.9841</v>
      </c>
      <c r="X8" s="12">
        <v>17.9841</v>
      </c>
      <c r="Y8" s="6">
        <f t="shared" si="5"/>
        <v>0</v>
      </c>
      <c r="Z8" s="33">
        <v>52.41</v>
      </c>
    </row>
    <row r="9" spans="1:26">
      <c r="A9" s="2" t="s">
        <v>17</v>
      </c>
      <c r="B9" s="12">
        <v>17.3138</v>
      </c>
      <c r="C9" s="12">
        <v>17.3138</v>
      </c>
      <c r="D9" s="22">
        <v>20.44</v>
      </c>
      <c r="E9" s="56">
        <f t="shared" si="0"/>
        <v>0</v>
      </c>
      <c r="F9" s="12">
        <v>17.3138</v>
      </c>
      <c r="G9" s="12">
        <v>17.3138</v>
      </c>
      <c r="H9" s="2">
        <v>599.95</v>
      </c>
      <c r="I9" s="56">
        <f t="shared" si="1"/>
        <v>0</v>
      </c>
      <c r="J9" s="12">
        <v>17.3138</v>
      </c>
      <c r="K9" s="12">
        <v>17.3138</v>
      </c>
      <c r="L9" s="51">
        <f t="shared" si="2"/>
        <v>0</v>
      </c>
      <c r="M9" s="22">
        <v>429.22</v>
      </c>
      <c r="O9" s="12">
        <v>17.3138</v>
      </c>
      <c r="P9" s="12">
        <v>17.3138</v>
      </c>
      <c r="Q9" s="6">
        <f t="shared" si="3"/>
        <v>0</v>
      </c>
      <c r="R9" s="33">
        <v>32.32</v>
      </c>
      <c r="S9" s="12">
        <v>17.3138</v>
      </c>
      <c r="T9" s="12">
        <v>17.3138</v>
      </c>
      <c r="U9" s="6">
        <f t="shared" si="4"/>
        <v>0</v>
      </c>
      <c r="V9" s="33">
        <v>544.89</v>
      </c>
      <c r="W9" s="12">
        <v>17.3138</v>
      </c>
      <c r="X9" s="12">
        <v>17.3138</v>
      </c>
      <c r="Y9" s="6">
        <f t="shared" si="5"/>
        <v>0</v>
      </c>
      <c r="Z9" s="33">
        <v>39.01</v>
      </c>
    </row>
    <row r="10" spans="1:26">
      <c r="A10" s="2" t="s">
        <v>18</v>
      </c>
      <c r="B10" s="12">
        <v>17.9841</v>
      </c>
      <c r="C10" s="12">
        <v>17.9841</v>
      </c>
      <c r="D10" s="22">
        <v>19.64</v>
      </c>
      <c r="E10" s="56">
        <f t="shared" si="0"/>
        <v>0</v>
      </c>
      <c r="F10" s="12">
        <v>17.9841</v>
      </c>
      <c r="G10" s="12">
        <v>17.9841</v>
      </c>
      <c r="H10" s="2">
        <v>485.27</v>
      </c>
      <c r="I10" s="56">
        <f t="shared" si="1"/>
        <v>0</v>
      </c>
      <c r="J10" s="12">
        <v>17.9841</v>
      </c>
      <c r="K10" s="12">
        <v>17.9841</v>
      </c>
      <c r="L10" s="51">
        <f t="shared" si="2"/>
        <v>0</v>
      </c>
      <c r="M10" s="22">
        <v>452.15</v>
      </c>
      <c r="O10" s="12">
        <v>17.9841</v>
      </c>
      <c r="P10" s="12">
        <v>17.9841</v>
      </c>
      <c r="Q10" s="6">
        <f t="shared" si="3"/>
        <v>0</v>
      </c>
      <c r="R10" s="33">
        <v>26.63</v>
      </c>
      <c r="S10" s="12">
        <v>17.9841</v>
      </c>
      <c r="T10" s="12">
        <v>17.9841</v>
      </c>
      <c r="U10" s="6">
        <f t="shared" si="4"/>
        <v>0</v>
      </c>
      <c r="V10" s="33">
        <v>319.57</v>
      </c>
      <c r="W10" s="12">
        <v>17.9841</v>
      </c>
      <c r="X10" s="12">
        <v>17.9841</v>
      </c>
      <c r="Y10" s="6">
        <f t="shared" si="5"/>
        <v>0</v>
      </c>
      <c r="Z10" s="50">
        <v>26.2</v>
      </c>
    </row>
    <row r="11" spans="1:26">
      <c r="A11" s="2" t="s">
        <v>19</v>
      </c>
      <c r="B11" s="12">
        <v>17.9841</v>
      </c>
      <c r="C11" s="12">
        <v>17.9841</v>
      </c>
      <c r="D11" s="22">
        <v>67.02</v>
      </c>
      <c r="E11" s="56">
        <f t="shared" si="0"/>
        <v>0</v>
      </c>
      <c r="F11" s="12">
        <v>17.9841</v>
      </c>
      <c r="G11" s="12">
        <v>17.9841</v>
      </c>
      <c r="H11" s="2">
        <v>589.39</v>
      </c>
      <c r="I11" s="56">
        <f t="shared" si="1"/>
        <v>0</v>
      </c>
      <c r="J11" s="12">
        <v>17.9841</v>
      </c>
      <c r="K11" s="12">
        <v>17.9841</v>
      </c>
      <c r="L11" s="51">
        <f t="shared" si="2"/>
        <v>0</v>
      </c>
      <c r="M11" s="22">
        <v>154.5</v>
      </c>
      <c r="O11" s="12">
        <v>17.9841</v>
      </c>
      <c r="P11" s="12">
        <v>17.9841</v>
      </c>
      <c r="Q11" s="6">
        <f t="shared" si="3"/>
        <v>0</v>
      </c>
      <c r="R11" s="33">
        <v>67.72</v>
      </c>
      <c r="S11" s="12">
        <v>17.9841</v>
      </c>
      <c r="T11" s="12">
        <v>17.9841</v>
      </c>
      <c r="U11" s="6">
        <f t="shared" si="4"/>
        <v>0</v>
      </c>
      <c r="V11" s="33">
        <v>567.12</v>
      </c>
      <c r="W11" s="12">
        <v>17.9841</v>
      </c>
      <c r="X11" s="12">
        <v>17.9841</v>
      </c>
      <c r="Y11" s="6">
        <f t="shared" si="5"/>
        <v>0</v>
      </c>
      <c r="Z11" s="50">
        <v>68.1</v>
      </c>
    </row>
    <row r="12" spans="1:26">
      <c r="A12" s="2" t="s">
        <v>20</v>
      </c>
      <c r="B12" s="12">
        <v>17.3138</v>
      </c>
      <c r="C12" s="12">
        <v>17.3138</v>
      </c>
      <c r="D12" s="22">
        <v>101.98</v>
      </c>
      <c r="E12" s="56">
        <f t="shared" si="0"/>
        <v>0</v>
      </c>
      <c r="F12" s="12">
        <v>17.3138</v>
      </c>
      <c r="G12" s="12">
        <v>17.3138</v>
      </c>
      <c r="H12" s="2">
        <v>630.92</v>
      </c>
      <c r="I12" s="56">
        <f t="shared" si="1"/>
        <v>0</v>
      </c>
      <c r="J12" s="12">
        <v>17.3138</v>
      </c>
      <c r="K12" s="12">
        <v>17.3138</v>
      </c>
      <c r="L12" s="51">
        <f t="shared" si="2"/>
        <v>0</v>
      </c>
      <c r="M12" s="22">
        <v>390.02</v>
      </c>
      <c r="O12" s="12">
        <v>17.3138</v>
      </c>
      <c r="P12" s="12">
        <v>17.3138</v>
      </c>
      <c r="Q12" s="6">
        <f t="shared" si="3"/>
        <v>0</v>
      </c>
      <c r="R12" s="33">
        <v>106.89</v>
      </c>
      <c r="S12" s="12">
        <v>17.3138</v>
      </c>
      <c r="T12" s="12">
        <v>17.3138</v>
      </c>
      <c r="U12" s="6">
        <f t="shared" si="4"/>
        <v>0</v>
      </c>
      <c r="V12" s="33">
        <v>438.51</v>
      </c>
      <c r="W12" s="12">
        <v>17.3138</v>
      </c>
      <c r="X12" s="12">
        <v>17.3138</v>
      </c>
      <c r="Y12" s="6">
        <f t="shared" si="5"/>
        <v>0</v>
      </c>
      <c r="Z12" s="33">
        <v>109.89</v>
      </c>
    </row>
    <row r="13" spans="1:26">
      <c r="A13" s="2" t="s">
        <v>21</v>
      </c>
      <c r="B13" s="12">
        <v>17.9841</v>
      </c>
      <c r="C13" s="12">
        <v>17.9841</v>
      </c>
      <c r="D13" s="22">
        <v>121.93</v>
      </c>
      <c r="E13" s="56">
        <f t="shared" si="0"/>
        <v>0</v>
      </c>
      <c r="F13" s="12">
        <v>17.9841</v>
      </c>
      <c r="G13" s="12">
        <v>17.9841</v>
      </c>
      <c r="H13" s="2">
        <v>777.24</v>
      </c>
      <c r="I13" s="56">
        <f t="shared" si="1"/>
        <v>0</v>
      </c>
      <c r="J13" s="12">
        <v>17.9841</v>
      </c>
      <c r="K13" s="12">
        <v>17.9841</v>
      </c>
      <c r="L13" s="51">
        <f t="shared" si="2"/>
        <v>0</v>
      </c>
      <c r="M13" s="22">
        <v>511.84</v>
      </c>
      <c r="O13" s="12">
        <v>17.9841</v>
      </c>
      <c r="P13" s="12">
        <v>17.9841</v>
      </c>
      <c r="Q13" s="6">
        <f t="shared" si="3"/>
        <v>0</v>
      </c>
      <c r="R13" s="33">
        <v>127.72</v>
      </c>
      <c r="S13" s="12">
        <v>17.9841</v>
      </c>
      <c r="T13" s="12">
        <v>17.9841</v>
      </c>
      <c r="U13" s="6">
        <f t="shared" si="4"/>
        <v>0</v>
      </c>
      <c r="V13" s="33">
        <v>640.79</v>
      </c>
      <c r="W13" s="12">
        <v>17.9841</v>
      </c>
      <c r="X13" s="12">
        <v>17.9841</v>
      </c>
      <c r="Y13" s="6">
        <f t="shared" si="5"/>
        <v>0</v>
      </c>
      <c r="Z13" s="33">
        <v>129.05</v>
      </c>
    </row>
    <row r="14" spans="1:26">
      <c r="A14" s="2" t="s">
        <v>22</v>
      </c>
      <c r="B14" s="12">
        <v>17.9841</v>
      </c>
      <c r="C14" s="12">
        <v>17.9841</v>
      </c>
      <c r="D14" s="22">
        <v>99.92</v>
      </c>
      <c r="E14" s="56">
        <f t="shared" si="0"/>
        <v>0</v>
      </c>
      <c r="F14" s="12">
        <v>17.9841</v>
      </c>
      <c r="G14" s="12">
        <v>17.9841</v>
      </c>
      <c r="H14" s="2">
        <v>592.08</v>
      </c>
      <c r="I14" s="56">
        <f t="shared" si="1"/>
        <v>0</v>
      </c>
      <c r="J14" s="12">
        <v>17.9841</v>
      </c>
      <c r="K14" s="12">
        <v>17.9841</v>
      </c>
      <c r="L14" s="51">
        <f t="shared" si="2"/>
        <v>0</v>
      </c>
      <c r="M14" s="22">
        <v>439.4</v>
      </c>
      <c r="O14" s="12">
        <v>17.9841</v>
      </c>
      <c r="P14" s="12">
        <v>17.9841</v>
      </c>
      <c r="Q14" s="6">
        <f t="shared" si="3"/>
        <v>0</v>
      </c>
      <c r="R14" s="33">
        <v>104.71</v>
      </c>
      <c r="S14" s="12">
        <v>17.9841</v>
      </c>
      <c r="T14" s="12">
        <v>17.9841</v>
      </c>
      <c r="U14" s="6">
        <f t="shared" si="4"/>
        <v>0</v>
      </c>
      <c r="V14" s="33">
        <v>430.17</v>
      </c>
      <c r="W14" s="12">
        <v>17.9841</v>
      </c>
      <c r="X14" s="12">
        <v>17.9841</v>
      </c>
      <c r="Y14" s="6">
        <f t="shared" si="5"/>
        <v>0</v>
      </c>
      <c r="Z14" s="33">
        <v>106.05</v>
      </c>
    </row>
    <row r="15" spans="1:26">
      <c r="A15" s="2" t="s">
        <v>23</v>
      </c>
      <c r="B15" s="12">
        <f t="shared" ref="B15:G15" si="6">AVERAGE(B3:B14)</f>
        <v>17.6363666666667</v>
      </c>
      <c r="C15" s="12">
        <f t="shared" si="6"/>
        <v>17.6363666666667</v>
      </c>
      <c r="D15" s="12">
        <f t="shared" si="6"/>
        <v>48.5808333333333</v>
      </c>
      <c r="E15" s="12">
        <f t="shared" si="6"/>
        <v>0</v>
      </c>
      <c r="F15" s="12">
        <f t="shared" si="6"/>
        <v>17.6363666666667</v>
      </c>
      <c r="G15" s="12">
        <f t="shared" si="6"/>
        <v>17.6363666666667</v>
      </c>
      <c r="H15" s="12">
        <f t="shared" ref="H15:Z15" si="7">AVERAGE(H3:H14)</f>
        <v>404.7</v>
      </c>
      <c r="I15" s="12">
        <f t="shared" si="7"/>
        <v>0</v>
      </c>
      <c r="J15" s="12">
        <f t="shared" si="7"/>
        <v>17.6363666666667</v>
      </c>
      <c r="K15" s="12">
        <f t="shared" si="7"/>
        <v>17.6363666666667</v>
      </c>
      <c r="L15" s="12">
        <f t="shared" si="7"/>
        <v>0</v>
      </c>
      <c r="M15" s="12">
        <f t="shared" si="7"/>
        <v>228.111666666667</v>
      </c>
      <c r="N15" s="12"/>
      <c r="O15" s="12">
        <f t="shared" si="7"/>
        <v>17.6363666666667</v>
      </c>
      <c r="P15" s="12">
        <f t="shared" si="7"/>
        <v>17.6363666666667</v>
      </c>
      <c r="Q15" s="12">
        <f t="shared" si="7"/>
        <v>0</v>
      </c>
      <c r="R15" s="12">
        <f t="shared" si="7"/>
        <v>56.4141666666667</v>
      </c>
      <c r="S15" s="12">
        <f t="shared" si="7"/>
        <v>17.6363666666667</v>
      </c>
      <c r="T15" s="12">
        <f t="shared" si="7"/>
        <v>17.6363666666667</v>
      </c>
      <c r="U15" s="12">
        <f t="shared" si="7"/>
        <v>0</v>
      </c>
      <c r="V15" s="12">
        <f t="shared" si="7"/>
        <v>327.779166666667</v>
      </c>
      <c r="W15" s="12">
        <f t="shared" si="7"/>
        <v>17.6363666666667</v>
      </c>
      <c r="X15" s="12">
        <f t="shared" si="7"/>
        <v>17.6363666666667</v>
      </c>
      <c r="Y15" s="12">
        <f t="shared" si="7"/>
        <v>0</v>
      </c>
      <c r="Z15" s="12">
        <f t="shared" si="7"/>
        <v>58.6083333333333</v>
      </c>
    </row>
    <row r="16" spans="1:26">
      <c r="A16" s="2"/>
      <c r="B16" s="12">
        <f>AVERAGE(B45,B15)</f>
        <v>27.16175</v>
      </c>
      <c r="C16" s="12">
        <f t="shared" ref="C16:Z16" si="8">AVERAGE(C45,C15)</f>
        <v>27.16175</v>
      </c>
      <c r="D16" s="12">
        <f t="shared" si="8"/>
        <v>28.71</v>
      </c>
      <c r="E16" s="12">
        <f t="shared" si="8"/>
        <v>0</v>
      </c>
      <c r="F16" s="12">
        <f t="shared" si="8"/>
        <v>27.16175</v>
      </c>
      <c r="G16" s="12">
        <f t="shared" si="8"/>
        <v>27.16175</v>
      </c>
      <c r="H16" s="12">
        <f t="shared" si="8"/>
        <v>239.121666666667</v>
      </c>
      <c r="I16" s="12">
        <f t="shared" si="8"/>
        <v>0</v>
      </c>
      <c r="J16" s="12">
        <f t="shared" si="8"/>
        <v>27.16175</v>
      </c>
      <c r="K16" s="12">
        <f t="shared" si="8"/>
        <v>27.16175</v>
      </c>
      <c r="L16" s="12">
        <f t="shared" si="8"/>
        <v>0</v>
      </c>
      <c r="M16" s="12">
        <f t="shared" si="8"/>
        <v>146.3575</v>
      </c>
      <c r="N16" s="12" t="e">
        <f t="shared" si="8"/>
        <v>#DIV/0!</v>
      </c>
      <c r="O16" s="12">
        <f t="shared" si="8"/>
        <v>27.16175</v>
      </c>
      <c r="P16" s="12">
        <f t="shared" si="8"/>
        <v>27.16175</v>
      </c>
      <c r="Q16" s="12">
        <f t="shared" si="8"/>
        <v>0</v>
      </c>
      <c r="R16" s="12">
        <f t="shared" si="8"/>
        <v>34.3045833333333</v>
      </c>
      <c r="S16" s="12">
        <f t="shared" si="8"/>
        <v>27.16175</v>
      </c>
      <c r="T16" s="12">
        <f t="shared" si="8"/>
        <v>27.16175</v>
      </c>
      <c r="U16" s="12">
        <f t="shared" si="8"/>
        <v>0</v>
      </c>
      <c r="V16" s="12">
        <f t="shared" si="8"/>
        <v>178.41875</v>
      </c>
      <c r="W16" s="12">
        <f t="shared" si="8"/>
        <v>27.16175</v>
      </c>
      <c r="X16" s="12">
        <f t="shared" si="8"/>
        <v>27.16175</v>
      </c>
      <c r="Y16" s="12">
        <f t="shared" si="8"/>
        <v>0</v>
      </c>
      <c r="Z16" s="12">
        <f t="shared" si="8"/>
        <v>35.975</v>
      </c>
    </row>
    <row r="17" spans="1:26">
      <c r="A17" s="2"/>
      <c r="B17" s="12"/>
      <c r="C17" s="12"/>
      <c r="D17" s="22"/>
      <c r="E17" s="56"/>
      <c r="F17" s="12"/>
      <c r="G17" s="12"/>
      <c r="H17" s="2"/>
      <c r="I17" s="56"/>
      <c r="J17" s="12"/>
      <c r="K17" s="12"/>
      <c r="L17" s="51"/>
      <c r="M17" s="22"/>
      <c r="O17" s="12"/>
      <c r="P17" s="12"/>
      <c r="Q17" s="6"/>
      <c r="R17" s="33"/>
      <c r="S17" s="12"/>
      <c r="T17" s="12"/>
      <c r="U17" s="6"/>
      <c r="V17" s="33"/>
      <c r="W17" s="12"/>
      <c r="X17" s="12"/>
      <c r="Y17" s="6"/>
      <c r="Z17" s="33"/>
    </row>
    <row r="18" spans="1:26">
      <c r="A18" s="2" t="s">
        <v>24</v>
      </c>
      <c r="B18" s="12">
        <v>18.1997</v>
      </c>
      <c r="C18" s="12">
        <v>18.1997</v>
      </c>
      <c r="D18" s="22">
        <v>46.54</v>
      </c>
      <c r="E18" s="56">
        <f t="shared" ref="E18:E36" si="9">(C18-B18)/C18</f>
        <v>0</v>
      </c>
      <c r="F18" s="12">
        <v>18.1997</v>
      </c>
      <c r="G18" s="12">
        <v>18.1997</v>
      </c>
      <c r="H18" s="2">
        <v>501.58</v>
      </c>
      <c r="I18" s="56">
        <f t="shared" ref="I18:I29" si="10">(G18-F18)/G18</f>
        <v>0</v>
      </c>
      <c r="J18" s="12">
        <v>18.1997</v>
      </c>
      <c r="K18" s="12">
        <v>18.1997</v>
      </c>
      <c r="L18" s="51">
        <f t="shared" ref="L18:L36" si="11">(K18-J18)/K18</f>
        <v>0</v>
      </c>
      <c r="M18" s="22">
        <v>456.55</v>
      </c>
      <c r="O18" s="12">
        <v>18.1997</v>
      </c>
      <c r="P18" s="12">
        <v>18.1997</v>
      </c>
      <c r="Q18" s="6">
        <f t="shared" ref="Q18:Q36" si="12">(P18-O18)/P18</f>
        <v>0</v>
      </c>
      <c r="R18" s="33">
        <v>98.85</v>
      </c>
      <c r="S18" s="12">
        <v>18.1997</v>
      </c>
      <c r="T18" s="12">
        <v>18.1997</v>
      </c>
      <c r="U18" s="6">
        <f t="shared" ref="U18:U36" si="13">(T18-S18)/T18</f>
        <v>0</v>
      </c>
      <c r="V18" s="33">
        <v>117.58</v>
      </c>
      <c r="W18" s="12">
        <v>18.1997</v>
      </c>
      <c r="X18" s="12">
        <v>18.1997</v>
      </c>
      <c r="Y18" s="6">
        <f t="shared" ref="Y18:Y36" si="14">(X18-W18)/X18</f>
        <v>0</v>
      </c>
      <c r="Z18" s="33">
        <v>105.07</v>
      </c>
    </row>
    <row r="19" spans="1:26">
      <c r="A19" s="2" t="s">
        <v>25</v>
      </c>
      <c r="B19" s="12">
        <v>18.609</v>
      </c>
      <c r="C19" s="12">
        <v>18.609</v>
      </c>
      <c r="D19" s="22">
        <v>247.42</v>
      </c>
      <c r="E19" s="56">
        <f t="shared" si="9"/>
        <v>0</v>
      </c>
      <c r="F19" s="12">
        <v>18.609</v>
      </c>
      <c r="G19" s="12">
        <v>18.609</v>
      </c>
      <c r="H19" s="2">
        <v>401.23</v>
      </c>
      <c r="I19" s="56">
        <f t="shared" si="10"/>
        <v>0</v>
      </c>
      <c r="J19" s="12">
        <v>18.609</v>
      </c>
      <c r="K19" s="12">
        <v>18.609</v>
      </c>
      <c r="L19" s="51">
        <f t="shared" si="11"/>
        <v>0</v>
      </c>
      <c r="M19" s="22">
        <v>358.37</v>
      </c>
      <c r="O19" s="12">
        <v>18.609</v>
      </c>
      <c r="P19" s="12">
        <v>18.609</v>
      </c>
      <c r="Q19" s="6">
        <f t="shared" si="12"/>
        <v>0</v>
      </c>
      <c r="R19" s="33">
        <v>267.86</v>
      </c>
      <c r="S19" s="12">
        <v>18.609</v>
      </c>
      <c r="T19" s="12">
        <v>18.609</v>
      </c>
      <c r="U19" s="6">
        <f t="shared" si="13"/>
        <v>0</v>
      </c>
      <c r="V19" s="33">
        <v>271.29</v>
      </c>
      <c r="W19" s="12">
        <v>18.609</v>
      </c>
      <c r="X19" s="12">
        <v>18.609</v>
      </c>
      <c r="Y19" s="6">
        <f t="shared" si="14"/>
        <v>0</v>
      </c>
      <c r="Z19" s="33">
        <v>269.6</v>
      </c>
    </row>
    <row r="20" spans="1:26">
      <c r="A20" s="2" t="s">
        <v>26</v>
      </c>
      <c r="B20" s="12">
        <v>18.6905</v>
      </c>
      <c r="C20" s="12">
        <v>18.6905</v>
      </c>
      <c r="D20" s="22">
        <v>43.19</v>
      </c>
      <c r="E20" s="56">
        <f t="shared" si="9"/>
        <v>0</v>
      </c>
      <c r="F20" s="12">
        <v>18.6905</v>
      </c>
      <c r="G20" s="12">
        <v>18.6905</v>
      </c>
      <c r="H20" s="2">
        <v>739.83</v>
      </c>
      <c r="I20" s="56">
        <f t="shared" si="10"/>
        <v>0</v>
      </c>
      <c r="J20" s="12">
        <v>18.6905</v>
      </c>
      <c r="K20" s="12">
        <v>18.6905</v>
      </c>
      <c r="L20" s="51">
        <f t="shared" si="11"/>
        <v>0</v>
      </c>
      <c r="M20" s="22">
        <v>543.37</v>
      </c>
      <c r="O20" s="12">
        <v>18.6905</v>
      </c>
      <c r="P20" s="12">
        <v>18.6905</v>
      </c>
      <c r="Q20" s="6">
        <f t="shared" si="12"/>
        <v>0</v>
      </c>
      <c r="R20" s="33">
        <v>118.25</v>
      </c>
      <c r="S20" s="12">
        <v>18.6905</v>
      </c>
      <c r="T20" s="12">
        <v>18.6905</v>
      </c>
      <c r="U20" s="6">
        <f t="shared" si="13"/>
        <v>0</v>
      </c>
      <c r="V20" s="33">
        <v>278.62</v>
      </c>
      <c r="W20" s="12">
        <v>18.6905</v>
      </c>
      <c r="X20" s="12">
        <v>18.6905</v>
      </c>
      <c r="Y20" s="6">
        <f t="shared" si="14"/>
        <v>0</v>
      </c>
      <c r="Z20" s="33">
        <v>152.57</v>
      </c>
    </row>
    <row r="21" spans="1:26">
      <c r="A21" s="2" t="s">
        <v>27</v>
      </c>
      <c r="B21" s="12">
        <v>18.4919</v>
      </c>
      <c r="C21" s="12">
        <v>18.4919</v>
      </c>
      <c r="D21" s="22">
        <v>503.66</v>
      </c>
      <c r="E21" s="56">
        <f t="shared" si="9"/>
        <v>0</v>
      </c>
      <c r="F21" s="12">
        <v>18.4919</v>
      </c>
      <c r="G21" s="12">
        <v>18.4919</v>
      </c>
      <c r="H21" s="2">
        <v>1818.02</v>
      </c>
      <c r="I21" s="56">
        <f t="shared" si="10"/>
        <v>0</v>
      </c>
      <c r="J21" s="12">
        <v>18.4919</v>
      </c>
      <c r="K21" s="12">
        <v>18.4919</v>
      </c>
      <c r="L21" s="51">
        <f t="shared" si="11"/>
        <v>0</v>
      </c>
      <c r="M21" s="22">
        <v>1775.58</v>
      </c>
      <c r="O21" s="12">
        <v>18.4919</v>
      </c>
      <c r="P21" s="12">
        <v>18.4919</v>
      </c>
      <c r="Q21" s="6">
        <f t="shared" si="12"/>
        <v>0</v>
      </c>
      <c r="R21" s="33">
        <v>564.68</v>
      </c>
      <c r="S21" s="12">
        <v>18.4919</v>
      </c>
      <c r="T21" s="12">
        <v>18.4919</v>
      </c>
      <c r="U21" s="6">
        <f t="shared" si="13"/>
        <v>0</v>
      </c>
      <c r="V21" s="33">
        <v>752.12</v>
      </c>
      <c r="W21" s="12">
        <v>18.4919</v>
      </c>
      <c r="X21" s="12">
        <v>18.4919</v>
      </c>
      <c r="Y21" s="6">
        <f t="shared" si="14"/>
        <v>0</v>
      </c>
      <c r="Z21" s="33">
        <v>604.01</v>
      </c>
    </row>
    <row r="22" spans="1:26">
      <c r="A22" s="2" t="s">
        <v>28</v>
      </c>
      <c r="B22" s="12">
        <v>18.8952</v>
      </c>
      <c r="C22" s="12">
        <v>18.8952</v>
      </c>
      <c r="D22" s="22">
        <v>174.1</v>
      </c>
      <c r="E22" s="56">
        <f t="shared" si="9"/>
        <v>0</v>
      </c>
      <c r="F22" s="12">
        <v>18.8952</v>
      </c>
      <c r="G22" s="12">
        <v>18.8952</v>
      </c>
      <c r="H22" s="2">
        <v>2011.98</v>
      </c>
      <c r="I22" s="56">
        <f t="shared" si="10"/>
        <v>0</v>
      </c>
      <c r="J22" s="12">
        <v>18.8952</v>
      </c>
      <c r="K22" s="12">
        <v>18.8952</v>
      </c>
      <c r="L22" s="51">
        <f t="shared" si="11"/>
        <v>0</v>
      </c>
      <c r="M22" s="22">
        <v>1845.76</v>
      </c>
      <c r="O22" s="12">
        <v>18.8952</v>
      </c>
      <c r="P22" s="12">
        <v>18.8952</v>
      </c>
      <c r="Q22" s="6">
        <f t="shared" si="12"/>
        <v>0</v>
      </c>
      <c r="R22" s="33">
        <v>277.64</v>
      </c>
      <c r="S22" s="12">
        <v>18.8952</v>
      </c>
      <c r="T22" s="12">
        <v>18.8952</v>
      </c>
      <c r="U22" s="6">
        <f t="shared" si="13"/>
        <v>0</v>
      </c>
      <c r="V22" s="33">
        <v>490.85</v>
      </c>
      <c r="W22" s="12">
        <v>18.8952</v>
      </c>
      <c r="X22" s="12">
        <v>18.8952</v>
      </c>
      <c r="Y22" s="6">
        <f t="shared" si="14"/>
        <v>0</v>
      </c>
      <c r="Z22" s="33">
        <v>291.87</v>
      </c>
    </row>
    <row r="23" spans="1:26">
      <c r="A23" s="2" t="s">
        <v>29</v>
      </c>
      <c r="B23" s="12">
        <v>18.8952</v>
      </c>
      <c r="C23" s="12">
        <v>18.8952</v>
      </c>
      <c r="D23" s="22">
        <v>26.44</v>
      </c>
      <c r="E23" s="56">
        <f t="shared" si="9"/>
        <v>0</v>
      </c>
      <c r="F23" s="12">
        <v>18.8952</v>
      </c>
      <c r="G23" s="12">
        <v>18.8952</v>
      </c>
      <c r="H23" s="2">
        <v>3600</v>
      </c>
      <c r="I23" s="56">
        <f t="shared" si="10"/>
        <v>0</v>
      </c>
      <c r="J23" s="12">
        <v>18.8952</v>
      </c>
      <c r="K23" s="12">
        <v>18.8952</v>
      </c>
      <c r="L23" s="51">
        <f t="shared" si="11"/>
        <v>0</v>
      </c>
      <c r="M23" s="22">
        <v>2668.97</v>
      </c>
      <c r="O23" s="12">
        <v>18.8952</v>
      </c>
      <c r="P23" s="12">
        <v>18.8952</v>
      </c>
      <c r="Q23" s="6">
        <f t="shared" si="12"/>
        <v>0</v>
      </c>
      <c r="R23" s="33">
        <v>337.01</v>
      </c>
      <c r="S23" s="12">
        <v>18.8952</v>
      </c>
      <c r="T23" s="12">
        <v>18.8952</v>
      </c>
      <c r="U23" s="6">
        <f t="shared" si="13"/>
        <v>0</v>
      </c>
      <c r="V23" s="33">
        <v>362.28</v>
      </c>
      <c r="W23" s="12">
        <v>18.8952</v>
      </c>
      <c r="X23" s="12">
        <v>18.8952</v>
      </c>
      <c r="Y23" s="6">
        <f t="shared" si="14"/>
        <v>0</v>
      </c>
      <c r="Z23" s="33">
        <v>341.17</v>
      </c>
    </row>
    <row r="24" spans="1:26">
      <c r="A24" s="2" t="s">
        <v>30</v>
      </c>
      <c r="B24" s="12">
        <v>18.4919</v>
      </c>
      <c r="C24" s="12">
        <v>18.4919</v>
      </c>
      <c r="D24" s="22">
        <v>290.54</v>
      </c>
      <c r="E24" s="56">
        <f t="shared" si="9"/>
        <v>0</v>
      </c>
      <c r="F24" s="12">
        <v>18.4919</v>
      </c>
      <c r="G24" s="12">
        <v>18.4919</v>
      </c>
      <c r="H24" s="2">
        <v>1095.71</v>
      </c>
      <c r="I24" s="56">
        <f t="shared" si="10"/>
        <v>0</v>
      </c>
      <c r="J24" s="12">
        <v>18.4919</v>
      </c>
      <c r="K24" s="12">
        <v>18.4919</v>
      </c>
      <c r="L24" s="51">
        <f t="shared" si="11"/>
        <v>0</v>
      </c>
      <c r="M24" s="22">
        <v>980.67</v>
      </c>
      <c r="O24" s="12">
        <v>18.4919</v>
      </c>
      <c r="P24" s="12">
        <v>18.4919</v>
      </c>
      <c r="Q24" s="6">
        <f t="shared" si="12"/>
        <v>0</v>
      </c>
      <c r="R24" s="33">
        <v>404.66</v>
      </c>
      <c r="S24" s="12">
        <v>18.4919</v>
      </c>
      <c r="T24" s="12">
        <v>18.4919</v>
      </c>
      <c r="U24" s="6">
        <f t="shared" si="13"/>
        <v>0</v>
      </c>
      <c r="V24" s="33">
        <v>625.94</v>
      </c>
      <c r="W24" s="12">
        <v>18.4919</v>
      </c>
      <c r="X24" s="12">
        <v>18.4919</v>
      </c>
      <c r="Y24" s="6">
        <f t="shared" si="14"/>
        <v>0</v>
      </c>
      <c r="Z24" s="33">
        <v>473.98</v>
      </c>
    </row>
    <row r="25" spans="1:26">
      <c r="A25" s="2" t="s">
        <v>31</v>
      </c>
      <c r="B25" s="12">
        <v>19.0185</v>
      </c>
      <c r="C25" s="12">
        <v>19.0185</v>
      </c>
      <c r="D25" s="22">
        <v>180.93</v>
      </c>
      <c r="E25" s="56">
        <f t="shared" si="9"/>
        <v>0</v>
      </c>
      <c r="F25" s="12">
        <v>19.0185</v>
      </c>
      <c r="G25" s="12">
        <v>20.643</v>
      </c>
      <c r="H25" s="2">
        <v>2407.77</v>
      </c>
      <c r="I25" s="56">
        <f t="shared" si="10"/>
        <v>0.0786949571283244</v>
      </c>
      <c r="J25" s="12">
        <v>19.0185</v>
      </c>
      <c r="K25" s="12">
        <v>19.0185</v>
      </c>
      <c r="L25" s="51">
        <f t="shared" si="11"/>
        <v>0</v>
      </c>
      <c r="M25" s="22">
        <v>2265.09</v>
      </c>
      <c r="O25" s="12">
        <v>19.0185</v>
      </c>
      <c r="P25" s="12">
        <v>19.0185</v>
      </c>
      <c r="Q25" s="6">
        <f t="shared" si="12"/>
        <v>0</v>
      </c>
      <c r="R25" s="33">
        <v>340.02</v>
      </c>
      <c r="S25" s="12">
        <v>19.0185</v>
      </c>
      <c r="T25" s="12">
        <v>19.0185</v>
      </c>
      <c r="U25" s="6">
        <f t="shared" si="13"/>
        <v>0</v>
      </c>
      <c r="V25" s="33">
        <v>754.56</v>
      </c>
      <c r="W25" s="12">
        <v>19.0185</v>
      </c>
      <c r="X25" s="12">
        <v>19.0185</v>
      </c>
      <c r="Y25" s="6">
        <f t="shared" si="14"/>
        <v>0</v>
      </c>
      <c r="Z25" s="33">
        <v>524.84</v>
      </c>
    </row>
    <row r="26" spans="1:26">
      <c r="A26" s="2" t="s">
        <v>32</v>
      </c>
      <c r="B26" s="12">
        <v>19.0185</v>
      </c>
      <c r="C26" s="12">
        <v>19.0185</v>
      </c>
      <c r="D26" s="22">
        <v>766.69</v>
      </c>
      <c r="E26" s="56">
        <f t="shared" si="9"/>
        <v>0</v>
      </c>
      <c r="F26" s="12">
        <v>19.0185</v>
      </c>
      <c r="G26" s="12">
        <v>22.65</v>
      </c>
      <c r="H26" s="2">
        <v>3600</v>
      </c>
      <c r="I26" s="56">
        <f t="shared" si="10"/>
        <v>0.160331125827815</v>
      </c>
      <c r="J26" s="12">
        <v>19.0185</v>
      </c>
      <c r="K26" s="12">
        <v>19.0185</v>
      </c>
      <c r="L26" s="51">
        <f t="shared" si="11"/>
        <v>0</v>
      </c>
      <c r="M26" s="22">
        <v>3436.16</v>
      </c>
      <c r="O26" s="12">
        <v>19.0185</v>
      </c>
      <c r="P26" s="12">
        <v>19.0185</v>
      </c>
      <c r="Q26" s="6">
        <f t="shared" si="12"/>
        <v>0</v>
      </c>
      <c r="R26" s="33">
        <v>1157.14</v>
      </c>
      <c r="S26" s="12">
        <v>19.0185</v>
      </c>
      <c r="T26" s="12">
        <v>19.0185</v>
      </c>
      <c r="U26" s="6">
        <f t="shared" si="13"/>
        <v>0</v>
      </c>
      <c r="V26" s="33">
        <v>2016.06</v>
      </c>
      <c r="W26" s="12">
        <v>19.0185</v>
      </c>
      <c r="X26" s="12">
        <v>19.0185</v>
      </c>
      <c r="Y26" s="6">
        <f t="shared" si="14"/>
        <v>0</v>
      </c>
      <c r="Z26" s="33">
        <v>1416.63</v>
      </c>
    </row>
    <row r="27" spans="1:26">
      <c r="A27" s="2" t="s">
        <v>33</v>
      </c>
      <c r="B27" s="12">
        <v>18.4919</v>
      </c>
      <c r="C27" s="12">
        <v>18.4919</v>
      </c>
      <c r="D27" s="22">
        <v>243.85</v>
      </c>
      <c r="E27" s="56">
        <f t="shared" si="9"/>
        <v>0</v>
      </c>
      <c r="F27" s="12">
        <v>18.4919</v>
      </c>
      <c r="G27" s="12">
        <v>20.5</v>
      </c>
      <c r="H27" s="2">
        <v>3600</v>
      </c>
      <c r="I27" s="56">
        <f t="shared" si="10"/>
        <v>0.0979560975609755</v>
      </c>
      <c r="J27" s="12">
        <v>18.4919</v>
      </c>
      <c r="K27" s="12">
        <v>18.4919</v>
      </c>
      <c r="L27" s="51">
        <f t="shared" si="11"/>
        <v>0</v>
      </c>
      <c r="M27" s="22">
        <v>3552.13</v>
      </c>
      <c r="O27" s="12">
        <v>18.4919</v>
      </c>
      <c r="P27" s="12">
        <v>18.4919</v>
      </c>
      <c r="Q27" s="6">
        <f t="shared" si="12"/>
        <v>0</v>
      </c>
      <c r="R27" s="33">
        <v>436.5</v>
      </c>
      <c r="S27" s="12">
        <v>18.4919</v>
      </c>
      <c r="T27" s="12">
        <v>18.4919</v>
      </c>
      <c r="U27" s="6">
        <f t="shared" si="13"/>
        <v>0</v>
      </c>
      <c r="V27" s="33">
        <v>751.91</v>
      </c>
      <c r="W27" s="12">
        <v>18.4919</v>
      </c>
      <c r="X27" s="12">
        <v>18.4919</v>
      </c>
      <c r="Y27" s="6">
        <f t="shared" si="14"/>
        <v>0</v>
      </c>
      <c r="Z27" s="33">
        <v>538.39</v>
      </c>
    </row>
    <row r="28" spans="1:26">
      <c r="A28" s="2" t="s">
        <v>34</v>
      </c>
      <c r="B28" s="12">
        <v>19.0185</v>
      </c>
      <c r="C28" s="12">
        <v>19.0185</v>
      </c>
      <c r="D28" s="22">
        <v>73.64</v>
      </c>
      <c r="E28" s="56">
        <f t="shared" si="9"/>
        <v>0</v>
      </c>
      <c r="F28" s="12">
        <v>19.0185</v>
      </c>
      <c r="G28" s="12">
        <v>21.61</v>
      </c>
      <c r="H28" s="2">
        <v>2791.4</v>
      </c>
      <c r="I28" s="56">
        <f t="shared" si="10"/>
        <v>0.119921332716335</v>
      </c>
      <c r="J28" s="12">
        <v>19.0185</v>
      </c>
      <c r="K28" s="12">
        <v>19.0185</v>
      </c>
      <c r="L28" s="51">
        <f t="shared" si="11"/>
        <v>0</v>
      </c>
      <c r="M28" s="22">
        <v>2553.48</v>
      </c>
      <c r="O28" s="12">
        <v>19.0185</v>
      </c>
      <c r="P28" s="12">
        <v>19.0185</v>
      </c>
      <c r="Q28" s="6">
        <f t="shared" si="12"/>
        <v>0</v>
      </c>
      <c r="R28" s="33">
        <v>506.65</v>
      </c>
      <c r="S28" s="12">
        <v>19.0185</v>
      </c>
      <c r="T28" s="12">
        <v>19.0185</v>
      </c>
      <c r="U28" s="6">
        <f t="shared" si="13"/>
        <v>0</v>
      </c>
      <c r="V28" s="33">
        <v>1497.74</v>
      </c>
      <c r="W28" s="12">
        <v>19.0185</v>
      </c>
      <c r="X28" s="12">
        <v>19.0185</v>
      </c>
      <c r="Y28" s="6">
        <f t="shared" si="14"/>
        <v>0</v>
      </c>
      <c r="Z28" s="33">
        <v>895.94</v>
      </c>
    </row>
    <row r="29" spans="1:26">
      <c r="A29" s="2" t="s">
        <v>35</v>
      </c>
      <c r="B29" s="12">
        <v>19.0185</v>
      </c>
      <c r="C29" s="12">
        <v>19.0185</v>
      </c>
      <c r="D29" s="22">
        <v>249.92</v>
      </c>
      <c r="E29" s="56">
        <f t="shared" si="9"/>
        <v>0</v>
      </c>
      <c r="F29" s="12">
        <v>19.0185</v>
      </c>
      <c r="G29" s="12">
        <v>22.09</v>
      </c>
      <c r="H29" s="2">
        <v>3600</v>
      </c>
      <c r="I29" s="56">
        <f t="shared" si="10"/>
        <v>0.139044816659122</v>
      </c>
      <c r="J29" s="12">
        <v>19.0185</v>
      </c>
      <c r="K29" s="12">
        <v>19.0185</v>
      </c>
      <c r="L29" s="51">
        <f t="shared" si="11"/>
        <v>0</v>
      </c>
      <c r="M29" s="22">
        <v>3595.95</v>
      </c>
      <c r="O29" s="12">
        <v>19.0185</v>
      </c>
      <c r="P29" s="12">
        <v>19.0185</v>
      </c>
      <c r="Q29" s="6">
        <f t="shared" si="12"/>
        <v>0</v>
      </c>
      <c r="R29" s="33">
        <v>684.55</v>
      </c>
      <c r="S29" s="12">
        <v>19.0185</v>
      </c>
      <c r="T29" s="12">
        <v>19.0185</v>
      </c>
      <c r="U29" s="6">
        <f t="shared" si="13"/>
        <v>0</v>
      </c>
      <c r="V29" s="50">
        <v>1649.97</v>
      </c>
      <c r="W29" s="12">
        <v>19.0185</v>
      </c>
      <c r="X29" s="12">
        <v>19.0185</v>
      </c>
      <c r="Y29" s="6">
        <f t="shared" si="14"/>
        <v>0</v>
      </c>
      <c r="Z29" s="33">
        <v>1131.43</v>
      </c>
    </row>
    <row r="30" spans="1:26">
      <c r="A30" s="2" t="s">
        <v>23</v>
      </c>
      <c r="B30" s="12">
        <f>AVERAGE(B18:B29)</f>
        <v>18.7366083333333</v>
      </c>
      <c r="C30" s="12">
        <f>AVERAGE(C18:C29)</f>
        <v>18.7366083333333</v>
      </c>
      <c r="D30" s="12">
        <f t="shared" ref="C30:Z30" si="15">AVERAGE(D18:D29)</f>
        <v>237.243333333333</v>
      </c>
      <c r="E30" s="12">
        <f t="shared" si="15"/>
        <v>0</v>
      </c>
      <c r="F30" s="12">
        <f t="shared" si="15"/>
        <v>18.7366083333333</v>
      </c>
      <c r="G30" s="12">
        <f t="shared" si="15"/>
        <v>19.8138666666667</v>
      </c>
      <c r="H30" s="12">
        <f t="shared" si="15"/>
        <v>2180.62666666667</v>
      </c>
      <c r="I30" s="12">
        <f t="shared" si="15"/>
        <v>0.0496623608243809</v>
      </c>
      <c r="J30" s="12">
        <f t="shared" si="15"/>
        <v>18.7366083333333</v>
      </c>
      <c r="K30" s="12">
        <f t="shared" si="15"/>
        <v>18.7366083333333</v>
      </c>
      <c r="L30" s="12">
        <f t="shared" si="15"/>
        <v>0</v>
      </c>
      <c r="M30" s="12">
        <f t="shared" si="15"/>
        <v>2002.67333333333</v>
      </c>
      <c r="N30" s="12"/>
      <c r="O30" s="12">
        <f t="shared" si="15"/>
        <v>18.7366083333333</v>
      </c>
      <c r="P30" s="12">
        <f t="shared" si="15"/>
        <v>18.7366083333333</v>
      </c>
      <c r="Q30" s="12">
        <f t="shared" si="15"/>
        <v>0</v>
      </c>
      <c r="R30" s="12">
        <f t="shared" si="15"/>
        <v>432.8175</v>
      </c>
      <c r="S30" s="12">
        <f t="shared" si="15"/>
        <v>18.7366083333333</v>
      </c>
      <c r="T30" s="12">
        <f t="shared" si="15"/>
        <v>18.7366083333333</v>
      </c>
      <c r="U30" s="12">
        <f t="shared" si="15"/>
        <v>0</v>
      </c>
      <c r="V30" s="12">
        <f t="shared" si="15"/>
        <v>797.41</v>
      </c>
      <c r="W30" s="12">
        <f t="shared" si="15"/>
        <v>18.7366083333333</v>
      </c>
      <c r="X30" s="12">
        <f t="shared" si="15"/>
        <v>18.7366083333333</v>
      </c>
      <c r="Y30" s="12">
        <f t="shared" si="15"/>
        <v>0</v>
      </c>
      <c r="Z30" s="12">
        <f t="shared" si="15"/>
        <v>562.125</v>
      </c>
    </row>
    <row r="31" spans="1:26">
      <c r="A31" s="2"/>
      <c r="B31" s="12">
        <f>AVERAGE(B30,B59)</f>
        <v>28.4771916666666</v>
      </c>
      <c r="C31" s="12">
        <f t="shared" ref="C31:Z31" si="16">AVERAGE(C30,C59)</f>
        <v>28.4771916666667</v>
      </c>
      <c r="D31" s="12">
        <f t="shared" si="16"/>
        <v>127.4525</v>
      </c>
      <c r="E31" s="12">
        <f t="shared" si="16"/>
        <v>0</v>
      </c>
      <c r="F31" s="12">
        <f t="shared" si="16"/>
        <v>28.4771916666667</v>
      </c>
      <c r="G31" s="12">
        <f t="shared" si="16"/>
        <v>29.0158208333334</v>
      </c>
      <c r="H31" s="12">
        <f t="shared" si="16"/>
        <v>1157.525</v>
      </c>
      <c r="I31" s="12">
        <f t="shared" si="16"/>
        <v>0.0248311804121904</v>
      </c>
      <c r="J31" s="12">
        <f t="shared" si="16"/>
        <v>28.4771916666667</v>
      </c>
      <c r="K31" s="12">
        <f t="shared" si="16"/>
        <v>28.4771916666667</v>
      </c>
      <c r="L31" s="12">
        <f t="shared" si="16"/>
        <v>0</v>
      </c>
      <c r="M31" s="12">
        <f t="shared" si="16"/>
        <v>1044.05916666667</v>
      </c>
      <c r="N31" s="12" t="e">
        <f t="shared" si="16"/>
        <v>#DIV/0!</v>
      </c>
      <c r="O31" s="12">
        <f t="shared" si="16"/>
        <v>28.4771916666667</v>
      </c>
      <c r="P31" s="12">
        <f t="shared" si="16"/>
        <v>28.4771916666667</v>
      </c>
      <c r="Q31" s="12">
        <f t="shared" si="16"/>
        <v>0</v>
      </c>
      <c r="R31" s="12">
        <f t="shared" si="16"/>
        <v>232.489166666667</v>
      </c>
      <c r="S31" s="12">
        <f t="shared" si="16"/>
        <v>28.4771916666667</v>
      </c>
      <c r="T31" s="12">
        <f t="shared" si="16"/>
        <v>28.4771916666667</v>
      </c>
      <c r="U31" s="12">
        <f t="shared" si="16"/>
        <v>0</v>
      </c>
      <c r="V31" s="12">
        <f t="shared" si="16"/>
        <v>429.696666666667</v>
      </c>
      <c r="W31" s="12">
        <f t="shared" si="16"/>
        <v>28.4771916666667</v>
      </c>
      <c r="X31" s="12">
        <f t="shared" si="16"/>
        <v>28.4771916666667</v>
      </c>
      <c r="Y31" s="12">
        <f t="shared" si="16"/>
        <v>0</v>
      </c>
      <c r="Z31" s="12">
        <f t="shared" si="16"/>
        <v>299.807916666667</v>
      </c>
    </row>
    <row r="32" spans="1:26">
      <c r="A32" s="2"/>
      <c r="B32" s="12"/>
      <c r="C32" s="12"/>
      <c r="D32" s="22"/>
      <c r="E32" s="56"/>
      <c r="F32" s="12"/>
      <c r="G32" s="12"/>
      <c r="H32" s="2"/>
      <c r="I32" s="56"/>
      <c r="J32" s="12"/>
      <c r="K32" s="12"/>
      <c r="L32" s="51"/>
      <c r="M32" s="22"/>
      <c r="O32" s="12"/>
      <c r="P32" s="12"/>
      <c r="Q32" s="6"/>
      <c r="R32" s="33"/>
      <c r="S32" s="12"/>
      <c r="T32" s="12"/>
      <c r="U32" s="6"/>
      <c r="V32" s="33"/>
      <c r="W32" s="12"/>
      <c r="X32" s="12"/>
      <c r="Y32" s="6"/>
      <c r="Z32" s="33"/>
    </row>
    <row r="33" spans="1:26">
      <c r="A33" s="2" t="s">
        <v>36</v>
      </c>
      <c r="B33" s="12">
        <v>31.349</v>
      </c>
      <c r="C33" s="12">
        <v>31.349</v>
      </c>
      <c r="D33" s="22">
        <v>5.83</v>
      </c>
      <c r="E33" s="56">
        <f>(C33-B33)/C33</f>
        <v>0</v>
      </c>
      <c r="F33" s="12">
        <v>31.349</v>
      </c>
      <c r="G33" s="12">
        <v>31.349</v>
      </c>
      <c r="H33" s="2">
        <v>28.62</v>
      </c>
      <c r="I33" s="56">
        <f t="shared" ref="I33:I58" si="17">(G33-F33)/G33</f>
        <v>0</v>
      </c>
      <c r="J33" s="12">
        <v>31.349</v>
      </c>
      <c r="K33" s="12">
        <v>31.349</v>
      </c>
      <c r="L33" s="51">
        <f>(K33-J33)/K33</f>
        <v>0</v>
      </c>
      <c r="M33" s="22">
        <v>26.44</v>
      </c>
      <c r="O33" s="12">
        <v>31.349</v>
      </c>
      <c r="P33" s="12">
        <v>31.349</v>
      </c>
      <c r="Q33" s="6">
        <f>(P33-O33)/P33</f>
        <v>0</v>
      </c>
      <c r="R33" s="33">
        <v>8.66</v>
      </c>
      <c r="S33" s="12">
        <v>31.349</v>
      </c>
      <c r="T33" s="12">
        <v>31.349</v>
      </c>
      <c r="U33" s="6">
        <f>(T33-S33)/T33</f>
        <v>0</v>
      </c>
      <c r="V33" s="33">
        <v>21.68</v>
      </c>
      <c r="W33" s="12">
        <v>31.349</v>
      </c>
      <c r="X33" s="12">
        <v>31.349</v>
      </c>
      <c r="Y33" s="6">
        <f>(X33-W33)/X33</f>
        <v>0</v>
      </c>
      <c r="Z33" s="33">
        <v>9.3</v>
      </c>
    </row>
    <row r="34" spans="1:26">
      <c r="A34" s="2" t="s">
        <v>37</v>
      </c>
      <c r="B34" s="12">
        <v>31.4392</v>
      </c>
      <c r="C34" s="12">
        <v>31.4392</v>
      </c>
      <c r="D34" s="22">
        <v>1.78</v>
      </c>
      <c r="E34" s="56">
        <f>(C34-B34)/C34</f>
        <v>0</v>
      </c>
      <c r="F34" s="12">
        <v>31.4392</v>
      </c>
      <c r="G34" s="12">
        <v>31.4392</v>
      </c>
      <c r="H34" s="2">
        <v>29.89</v>
      </c>
      <c r="I34" s="56">
        <f t="shared" si="17"/>
        <v>0</v>
      </c>
      <c r="J34" s="12">
        <v>31.4392</v>
      </c>
      <c r="K34" s="12">
        <v>31.4392</v>
      </c>
      <c r="L34" s="51">
        <f>(K34-J34)/K34</f>
        <v>0</v>
      </c>
      <c r="M34" s="22">
        <v>24.33</v>
      </c>
      <c r="O34" s="12">
        <v>31.4392</v>
      </c>
      <c r="P34" s="12">
        <v>31.4392</v>
      </c>
      <c r="Q34" s="6">
        <f>(P34-O34)/P34</f>
        <v>0</v>
      </c>
      <c r="R34" s="33">
        <v>7.22</v>
      </c>
      <c r="S34" s="12">
        <v>31.4392</v>
      </c>
      <c r="T34" s="12">
        <v>31.4392</v>
      </c>
      <c r="U34" s="6">
        <f>(T34-S34)/T34</f>
        <v>0</v>
      </c>
      <c r="V34" s="33">
        <v>19.79</v>
      </c>
      <c r="W34" s="12">
        <v>31.4392</v>
      </c>
      <c r="X34" s="12">
        <v>31.4392</v>
      </c>
      <c r="Y34" s="6">
        <f>(X34-W34)/X34</f>
        <v>0</v>
      </c>
      <c r="Z34" s="33">
        <v>7.37</v>
      </c>
    </row>
    <row r="35" spans="1:26">
      <c r="A35" s="2" t="s">
        <v>38</v>
      </c>
      <c r="B35" s="12">
        <v>31.4392</v>
      </c>
      <c r="C35" s="12">
        <v>31.4392</v>
      </c>
      <c r="D35" s="22">
        <v>2.88</v>
      </c>
      <c r="E35" s="56">
        <f>(C35-B35)/C35</f>
        <v>0</v>
      </c>
      <c r="F35" s="12">
        <v>31.4392</v>
      </c>
      <c r="G35" s="12">
        <v>31.4392</v>
      </c>
      <c r="H35" s="2">
        <v>24.12</v>
      </c>
      <c r="I35" s="56">
        <f t="shared" si="17"/>
        <v>0</v>
      </c>
      <c r="J35" s="12">
        <v>31.4392</v>
      </c>
      <c r="K35" s="12">
        <v>31.4392</v>
      </c>
      <c r="L35" s="51">
        <f>(K35-J35)/K35</f>
        <v>0</v>
      </c>
      <c r="M35" s="22">
        <v>19.33</v>
      </c>
      <c r="O35" s="12">
        <v>31.4392</v>
      </c>
      <c r="P35" s="12">
        <v>31.4392</v>
      </c>
      <c r="Q35" s="6">
        <f>(P35-O35)/P35</f>
        <v>0</v>
      </c>
      <c r="R35" s="33">
        <v>3.59</v>
      </c>
      <c r="S35" s="12">
        <v>31.4392</v>
      </c>
      <c r="T35" s="12">
        <v>31.4392</v>
      </c>
      <c r="U35" s="6">
        <f>(T35-S35)/T35</f>
        <v>0</v>
      </c>
      <c r="V35" s="33">
        <v>12.71</v>
      </c>
      <c r="W35" s="12">
        <v>31.4392</v>
      </c>
      <c r="X35" s="12">
        <v>31.4392</v>
      </c>
      <c r="Y35" s="6">
        <f>(X35-W35)/X35</f>
        <v>0</v>
      </c>
      <c r="Z35" s="33">
        <v>3.74</v>
      </c>
    </row>
    <row r="36" spans="1:26">
      <c r="A36" s="2" t="s">
        <v>39</v>
      </c>
      <c r="B36" s="12">
        <v>37.952</v>
      </c>
      <c r="C36" s="12">
        <v>37.952</v>
      </c>
      <c r="D36" s="22">
        <v>7.93</v>
      </c>
      <c r="E36" s="56">
        <f>(C36-B36)/C36</f>
        <v>0</v>
      </c>
      <c r="F36" s="12">
        <v>37.952</v>
      </c>
      <c r="G36" s="12">
        <v>37.952</v>
      </c>
      <c r="H36" s="2">
        <v>40.5</v>
      </c>
      <c r="I36" s="56">
        <f t="shared" si="17"/>
        <v>0</v>
      </c>
      <c r="J36" s="12">
        <v>37.952</v>
      </c>
      <c r="K36" s="12">
        <v>37.952</v>
      </c>
      <c r="L36" s="51">
        <f>(K36-J36)/K36</f>
        <v>0</v>
      </c>
      <c r="M36" s="22">
        <v>30.61</v>
      </c>
      <c r="O36" s="12">
        <v>37.952</v>
      </c>
      <c r="P36" s="12">
        <v>37.952</v>
      </c>
      <c r="Q36" s="6">
        <f>(P36-O36)/P36</f>
        <v>0</v>
      </c>
      <c r="R36" s="33">
        <v>10.06</v>
      </c>
      <c r="S36" s="12">
        <v>37.952</v>
      </c>
      <c r="T36" s="12">
        <v>37.952</v>
      </c>
      <c r="U36" s="6">
        <f>(T36-S36)/T36</f>
        <v>0</v>
      </c>
      <c r="V36" s="33">
        <v>28.72</v>
      </c>
      <c r="W36" s="12">
        <v>37.952</v>
      </c>
      <c r="X36" s="12">
        <v>37.952</v>
      </c>
      <c r="Y36" s="6">
        <f>(X36-W36)/X36</f>
        <v>0</v>
      </c>
      <c r="Z36" s="33">
        <v>10.43</v>
      </c>
    </row>
    <row r="37" spans="1:26">
      <c r="A37" s="2" t="s">
        <v>40</v>
      </c>
      <c r="B37" s="12">
        <v>37.952</v>
      </c>
      <c r="C37" s="12">
        <v>37.952</v>
      </c>
      <c r="D37" s="22">
        <v>1.93</v>
      </c>
      <c r="E37" s="56">
        <f>(C37-B37)/C37</f>
        <v>0</v>
      </c>
      <c r="F37" s="12">
        <v>37.952</v>
      </c>
      <c r="G37" s="12">
        <v>37.952</v>
      </c>
      <c r="H37" s="2">
        <v>58.64</v>
      </c>
      <c r="I37" s="56">
        <f t="shared" si="17"/>
        <v>0</v>
      </c>
      <c r="J37" s="12">
        <v>37.952</v>
      </c>
      <c r="K37" s="12">
        <v>37.952</v>
      </c>
      <c r="L37" s="51">
        <f>(K37-J37)/K37</f>
        <v>0</v>
      </c>
      <c r="M37" s="22">
        <v>45.27</v>
      </c>
      <c r="O37" s="12">
        <v>37.952</v>
      </c>
      <c r="P37" s="12">
        <v>37.952</v>
      </c>
      <c r="Q37" s="6">
        <f>(P37-O37)/P37</f>
        <v>0</v>
      </c>
      <c r="R37" s="33">
        <v>1.96</v>
      </c>
      <c r="S37" s="12">
        <v>37.952</v>
      </c>
      <c r="T37" s="12">
        <v>37.952</v>
      </c>
      <c r="U37" s="6">
        <f>(T37-S37)/T37</f>
        <v>0</v>
      </c>
      <c r="V37" s="33">
        <v>2.33</v>
      </c>
      <c r="W37" s="12">
        <v>37.952</v>
      </c>
      <c r="X37" s="12">
        <v>37.952</v>
      </c>
      <c r="Y37" s="6">
        <f>(X37-W37)/X37</f>
        <v>0</v>
      </c>
      <c r="Z37" s="33">
        <v>1.96</v>
      </c>
    </row>
    <row r="38" spans="1:26">
      <c r="A38" s="2" t="s">
        <v>41</v>
      </c>
      <c r="B38" s="12">
        <v>37.952</v>
      </c>
      <c r="C38" s="12">
        <v>37.952</v>
      </c>
      <c r="D38" s="22">
        <v>9.81</v>
      </c>
      <c r="E38" s="56">
        <f t="shared" ref="E38:E58" si="18">(C38-B38)/C38</f>
        <v>0</v>
      </c>
      <c r="F38" s="12">
        <v>37.952</v>
      </c>
      <c r="G38" s="12">
        <v>37.952</v>
      </c>
      <c r="H38" s="2">
        <v>48.02</v>
      </c>
      <c r="I38" s="56">
        <f t="shared" si="17"/>
        <v>0</v>
      </c>
      <c r="J38" s="12">
        <v>37.952</v>
      </c>
      <c r="K38" s="12">
        <v>37.952</v>
      </c>
      <c r="L38" s="51">
        <f t="shared" ref="L38:L58" si="19">(K38-J38)/K38</f>
        <v>0</v>
      </c>
      <c r="M38" s="22">
        <v>36.54</v>
      </c>
      <c r="O38" s="12">
        <v>37.952</v>
      </c>
      <c r="P38" s="12">
        <v>37.952</v>
      </c>
      <c r="Q38" s="6">
        <f t="shared" ref="Q38:Q58" si="20">(P38-O38)/P38</f>
        <v>0</v>
      </c>
      <c r="R38" s="33">
        <v>11.77</v>
      </c>
      <c r="S38" s="12">
        <v>37.952</v>
      </c>
      <c r="T38" s="12">
        <v>37.952</v>
      </c>
      <c r="U38" s="6">
        <f t="shared" ref="U38:U58" si="21">(T38-S38)/T38</f>
        <v>0</v>
      </c>
      <c r="V38" s="33">
        <v>21.61</v>
      </c>
      <c r="W38" s="12">
        <v>37.952</v>
      </c>
      <c r="X38" s="12">
        <v>37.952</v>
      </c>
      <c r="Y38" s="6">
        <f t="shared" ref="Y38:Y58" si="22">(X38-W38)/X38</f>
        <v>0</v>
      </c>
      <c r="Z38" s="33">
        <v>12.67</v>
      </c>
    </row>
    <row r="39" spans="1:26">
      <c r="A39" s="2" t="s">
        <v>42</v>
      </c>
      <c r="B39" s="12">
        <v>38.6937</v>
      </c>
      <c r="C39" s="12">
        <v>38.6937</v>
      </c>
      <c r="D39" s="22">
        <v>29.68</v>
      </c>
      <c r="E39" s="56">
        <f t="shared" si="18"/>
        <v>0</v>
      </c>
      <c r="F39" s="12">
        <v>38.6937</v>
      </c>
      <c r="G39" s="12">
        <v>38.6937</v>
      </c>
      <c r="H39" s="2">
        <v>102.09</v>
      </c>
      <c r="I39" s="56">
        <f t="shared" si="17"/>
        <v>0</v>
      </c>
      <c r="J39" s="12">
        <v>38.6937</v>
      </c>
      <c r="K39" s="12">
        <v>38.6937</v>
      </c>
      <c r="L39" s="51">
        <f t="shared" si="19"/>
        <v>0</v>
      </c>
      <c r="M39" s="22">
        <v>99.86</v>
      </c>
      <c r="O39" s="12">
        <v>38.6937</v>
      </c>
      <c r="P39" s="12">
        <v>38.6937</v>
      </c>
      <c r="Q39" s="6">
        <f t="shared" si="20"/>
        <v>0</v>
      </c>
      <c r="R39" s="33">
        <v>31.07</v>
      </c>
      <c r="S39" s="12">
        <v>38.6937</v>
      </c>
      <c r="T39" s="12">
        <v>38.6937</v>
      </c>
      <c r="U39" s="6">
        <f t="shared" si="21"/>
        <v>0</v>
      </c>
      <c r="V39" s="33">
        <v>36.95</v>
      </c>
      <c r="W39" s="12">
        <v>38.6937</v>
      </c>
      <c r="X39" s="12">
        <v>38.6937</v>
      </c>
      <c r="Y39" s="6">
        <f t="shared" si="22"/>
        <v>0</v>
      </c>
      <c r="Z39" s="33">
        <v>31.4</v>
      </c>
    </row>
    <row r="40" spans="1:26">
      <c r="A40" s="2" t="s">
        <v>43</v>
      </c>
      <c r="B40" s="12">
        <v>38.6937</v>
      </c>
      <c r="C40" s="12">
        <v>38.6937</v>
      </c>
      <c r="D40" s="22">
        <v>1.18</v>
      </c>
      <c r="E40" s="56">
        <f t="shared" si="18"/>
        <v>0</v>
      </c>
      <c r="F40" s="12">
        <v>38.6937</v>
      </c>
      <c r="G40" s="12">
        <v>38.6937</v>
      </c>
      <c r="H40" s="2">
        <v>48.29</v>
      </c>
      <c r="I40" s="56">
        <f t="shared" si="17"/>
        <v>0</v>
      </c>
      <c r="J40" s="12">
        <v>38.6937</v>
      </c>
      <c r="K40" s="12">
        <v>38.6937</v>
      </c>
      <c r="L40" s="51">
        <f t="shared" si="19"/>
        <v>0</v>
      </c>
      <c r="M40" s="22">
        <v>46.15</v>
      </c>
      <c r="O40" s="12">
        <v>38.6937</v>
      </c>
      <c r="P40" s="12">
        <v>38.6937</v>
      </c>
      <c r="Q40" s="6">
        <f t="shared" si="20"/>
        <v>0</v>
      </c>
      <c r="R40" s="33">
        <v>3.97</v>
      </c>
      <c r="S40" s="12">
        <v>38.6937</v>
      </c>
      <c r="T40" s="12">
        <v>38.6937</v>
      </c>
      <c r="U40" s="6">
        <f t="shared" si="21"/>
        <v>0</v>
      </c>
      <c r="V40" s="33">
        <v>15.74</v>
      </c>
      <c r="W40" s="12">
        <v>38.6937</v>
      </c>
      <c r="X40" s="12">
        <v>38.6937</v>
      </c>
      <c r="Y40" s="6">
        <f t="shared" si="22"/>
        <v>0</v>
      </c>
      <c r="Z40" s="33">
        <v>5.09</v>
      </c>
    </row>
    <row r="41" spans="1:26">
      <c r="A41" s="2" t="s">
        <v>44</v>
      </c>
      <c r="B41" s="12">
        <v>38.6937</v>
      </c>
      <c r="C41" s="12">
        <v>38.6937</v>
      </c>
      <c r="D41" s="22">
        <v>18.42</v>
      </c>
      <c r="E41" s="56">
        <f t="shared" si="18"/>
        <v>0</v>
      </c>
      <c r="F41" s="12">
        <v>38.6937</v>
      </c>
      <c r="G41" s="12">
        <v>38.6937</v>
      </c>
      <c r="H41" s="2">
        <v>116.29</v>
      </c>
      <c r="I41" s="56">
        <f t="shared" si="17"/>
        <v>0</v>
      </c>
      <c r="J41" s="12">
        <v>38.6937</v>
      </c>
      <c r="K41" s="12">
        <v>38.6937</v>
      </c>
      <c r="L41" s="51">
        <f t="shared" si="19"/>
        <v>0</v>
      </c>
      <c r="M41" s="22">
        <v>109.96</v>
      </c>
      <c r="O41" s="12">
        <v>38.6937</v>
      </c>
      <c r="P41" s="12">
        <v>38.6937</v>
      </c>
      <c r="Q41" s="6">
        <f t="shared" si="20"/>
        <v>0</v>
      </c>
      <c r="R41" s="33">
        <v>19.64</v>
      </c>
      <c r="S41" s="12">
        <v>38.6937</v>
      </c>
      <c r="T41" s="12">
        <v>38.6937</v>
      </c>
      <c r="U41" s="6">
        <f t="shared" si="21"/>
        <v>0</v>
      </c>
      <c r="V41" s="33">
        <v>25.82</v>
      </c>
      <c r="W41" s="12">
        <v>38.6937</v>
      </c>
      <c r="X41" s="12">
        <v>38.6937</v>
      </c>
      <c r="Y41" s="6">
        <f t="shared" si="22"/>
        <v>0</v>
      </c>
      <c r="Z41" s="33">
        <v>19.7</v>
      </c>
    </row>
    <row r="42" spans="1:26">
      <c r="A42" s="2" t="s">
        <v>45</v>
      </c>
      <c r="B42" s="12">
        <v>38.6937</v>
      </c>
      <c r="C42" s="12">
        <v>38.6937</v>
      </c>
      <c r="D42" s="22">
        <v>5.1</v>
      </c>
      <c r="E42" s="56">
        <f t="shared" si="18"/>
        <v>0</v>
      </c>
      <c r="F42" s="12">
        <v>38.6937</v>
      </c>
      <c r="G42" s="12">
        <v>38.6937</v>
      </c>
      <c r="H42" s="19">
        <v>122.38</v>
      </c>
      <c r="I42" s="56">
        <f t="shared" si="17"/>
        <v>0</v>
      </c>
      <c r="J42" s="12">
        <v>38.6937</v>
      </c>
      <c r="K42" s="12">
        <v>38.6937</v>
      </c>
      <c r="L42" s="51">
        <f t="shared" si="19"/>
        <v>0</v>
      </c>
      <c r="M42" s="22">
        <v>104.01</v>
      </c>
      <c r="O42" s="12">
        <v>38.6937</v>
      </c>
      <c r="P42" s="12">
        <v>38.6937</v>
      </c>
      <c r="Q42" s="6">
        <f t="shared" si="20"/>
        <v>0</v>
      </c>
      <c r="R42" s="33">
        <v>19.77</v>
      </c>
      <c r="S42" s="12">
        <v>38.6937</v>
      </c>
      <c r="T42" s="12">
        <v>38.6937</v>
      </c>
      <c r="U42" s="6">
        <f t="shared" si="21"/>
        <v>0</v>
      </c>
      <c r="V42" s="33">
        <v>74.95</v>
      </c>
      <c r="W42" s="12">
        <v>38.6937</v>
      </c>
      <c r="X42" s="12">
        <v>38.6937</v>
      </c>
      <c r="Y42" s="6">
        <f t="shared" si="22"/>
        <v>0</v>
      </c>
      <c r="Z42" s="33">
        <v>26.02</v>
      </c>
    </row>
    <row r="43" spans="1:26">
      <c r="A43" s="2" t="s">
        <v>46</v>
      </c>
      <c r="B43" s="12">
        <v>38.6937</v>
      </c>
      <c r="C43" s="12">
        <v>38.6937</v>
      </c>
      <c r="D43" s="22">
        <v>3.8</v>
      </c>
      <c r="E43" s="56">
        <f t="shared" si="18"/>
        <v>0</v>
      </c>
      <c r="F43" s="12">
        <v>38.6937</v>
      </c>
      <c r="G43" s="12">
        <v>38.6937</v>
      </c>
      <c r="H43" s="19">
        <v>73.59</v>
      </c>
      <c r="I43" s="56">
        <f t="shared" si="17"/>
        <v>0</v>
      </c>
      <c r="J43" s="12">
        <v>38.6937</v>
      </c>
      <c r="K43" s="12">
        <v>38.6937</v>
      </c>
      <c r="L43" s="51">
        <f t="shared" si="19"/>
        <v>0</v>
      </c>
      <c r="M43" s="22">
        <v>65.95</v>
      </c>
      <c r="O43" s="12">
        <v>38.6937</v>
      </c>
      <c r="P43" s="12">
        <v>38.6937</v>
      </c>
      <c r="Q43" s="6">
        <f t="shared" si="20"/>
        <v>0</v>
      </c>
      <c r="R43" s="33">
        <v>4.62</v>
      </c>
      <c r="S43" s="12">
        <v>38.6937</v>
      </c>
      <c r="T43" s="12">
        <v>38.6937</v>
      </c>
      <c r="U43" s="6">
        <f t="shared" si="21"/>
        <v>0</v>
      </c>
      <c r="V43" s="33">
        <v>12.86</v>
      </c>
      <c r="W43" s="12">
        <v>38.6937</v>
      </c>
      <c r="X43" s="12">
        <v>38.6937</v>
      </c>
      <c r="Y43" s="6">
        <f t="shared" si="22"/>
        <v>0</v>
      </c>
      <c r="Z43" s="33">
        <v>5.07</v>
      </c>
    </row>
    <row r="44" spans="1:26">
      <c r="A44" s="2" t="s">
        <v>47</v>
      </c>
      <c r="B44" s="12">
        <v>38.6937</v>
      </c>
      <c r="C44" s="12">
        <v>38.6937</v>
      </c>
      <c r="D44" s="33">
        <v>17.73</v>
      </c>
      <c r="E44" s="56">
        <f t="shared" si="18"/>
        <v>0</v>
      </c>
      <c r="F44" s="12">
        <v>38.6937</v>
      </c>
      <c r="G44" s="12">
        <v>38.6937</v>
      </c>
      <c r="H44">
        <v>190.09</v>
      </c>
      <c r="I44" s="56">
        <f t="shared" si="17"/>
        <v>0</v>
      </c>
      <c r="J44" s="12">
        <v>38.6937</v>
      </c>
      <c r="K44" s="12">
        <v>38.6937</v>
      </c>
      <c r="L44" s="51">
        <f t="shared" si="19"/>
        <v>0</v>
      </c>
      <c r="M44" s="22">
        <v>166.79</v>
      </c>
      <c r="O44" s="12">
        <v>38.6937</v>
      </c>
      <c r="P44" s="12">
        <v>38.6937</v>
      </c>
      <c r="Q44" s="6">
        <f t="shared" si="20"/>
        <v>0</v>
      </c>
      <c r="R44" s="33">
        <v>24.01</v>
      </c>
      <c r="S44" s="12">
        <v>38.6937</v>
      </c>
      <c r="T44" s="12">
        <v>38.6937</v>
      </c>
      <c r="U44" s="6">
        <f t="shared" si="21"/>
        <v>0</v>
      </c>
      <c r="V44" s="33">
        <v>75.54</v>
      </c>
      <c r="W44" s="12">
        <v>38.6937</v>
      </c>
      <c r="X44" s="12">
        <v>38.6937</v>
      </c>
      <c r="Y44" s="6">
        <f t="shared" si="22"/>
        <v>0</v>
      </c>
      <c r="Z44" s="33">
        <v>27.35</v>
      </c>
    </row>
    <row r="45" spans="1:26">
      <c r="A45" s="2" t="s">
        <v>23</v>
      </c>
      <c r="B45">
        <f>AVERAGE(B33:B44)</f>
        <v>36.6871333333333</v>
      </c>
      <c r="C45">
        <f t="shared" ref="C45:Z45" si="23">AVERAGE(C33:C44)</f>
        <v>36.6871333333333</v>
      </c>
      <c r="D45">
        <f t="shared" si="23"/>
        <v>8.83916666666667</v>
      </c>
      <c r="E45">
        <f t="shared" si="23"/>
        <v>0</v>
      </c>
      <c r="F45">
        <f t="shared" si="23"/>
        <v>36.6871333333333</v>
      </c>
      <c r="G45">
        <f t="shared" si="23"/>
        <v>36.6871333333333</v>
      </c>
      <c r="H45">
        <f t="shared" si="23"/>
        <v>73.5433333333333</v>
      </c>
      <c r="I45">
        <f t="shared" si="23"/>
        <v>0</v>
      </c>
      <c r="J45">
        <f t="shared" si="23"/>
        <v>36.6871333333333</v>
      </c>
      <c r="K45">
        <f t="shared" si="23"/>
        <v>36.6871333333333</v>
      </c>
      <c r="L45">
        <f t="shared" si="23"/>
        <v>0</v>
      </c>
      <c r="M45">
        <f t="shared" si="23"/>
        <v>64.6033333333333</v>
      </c>
      <c r="O45">
        <f t="shared" si="23"/>
        <v>36.6871333333333</v>
      </c>
      <c r="P45">
        <f t="shared" si="23"/>
        <v>36.6871333333333</v>
      </c>
      <c r="Q45">
        <f t="shared" si="23"/>
        <v>0</v>
      </c>
      <c r="R45">
        <f t="shared" si="23"/>
        <v>12.195</v>
      </c>
      <c r="S45">
        <f t="shared" si="23"/>
        <v>36.6871333333333</v>
      </c>
      <c r="T45">
        <f t="shared" si="23"/>
        <v>36.6871333333333</v>
      </c>
      <c r="U45">
        <f t="shared" si="23"/>
        <v>0</v>
      </c>
      <c r="V45">
        <f t="shared" si="23"/>
        <v>29.0583333333333</v>
      </c>
      <c r="W45">
        <f t="shared" si="23"/>
        <v>36.6871333333333</v>
      </c>
      <c r="X45">
        <f t="shared" si="23"/>
        <v>36.6871333333333</v>
      </c>
      <c r="Y45">
        <f t="shared" si="23"/>
        <v>0</v>
      </c>
      <c r="Z45">
        <f t="shared" si="23"/>
        <v>13.3416666666667</v>
      </c>
    </row>
    <row r="46" spans="1:26">
      <c r="E46" s="56"/>
      <c r="I46" s="56"/>
      <c r="L46" s="51"/>
      <c r="Q46" s="6"/>
      <c r="U46" s="6"/>
      <c r="V46" s="50"/>
      <c r="Y46" s="6"/>
    </row>
    <row r="47" spans="1:26">
      <c r="A47" s="2" t="s">
        <v>48</v>
      </c>
      <c r="B47" s="12">
        <v>36.293</v>
      </c>
      <c r="C47" s="12">
        <v>36.293</v>
      </c>
      <c r="D47" s="33">
        <v>3.25</v>
      </c>
      <c r="E47" s="56">
        <f t="shared" si="18"/>
        <v>0</v>
      </c>
      <c r="F47" s="12">
        <v>36.293</v>
      </c>
      <c r="G47" s="12">
        <v>36.293</v>
      </c>
      <c r="H47">
        <v>49.12</v>
      </c>
      <c r="I47" s="56">
        <f t="shared" si="17"/>
        <v>0</v>
      </c>
      <c r="J47" s="12">
        <v>36.293</v>
      </c>
      <c r="K47" s="12">
        <v>36.293</v>
      </c>
      <c r="L47" s="51">
        <f t="shared" si="19"/>
        <v>0</v>
      </c>
      <c r="M47" s="33">
        <v>38.51</v>
      </c>
      <c r="O47" s="12">
        <v>36.293</v>
      </c>
      <c r="P47" s="12">
        <v>36.293</v>
      </c>
      <c r="Q47" s="6">
        <f t="shared" si="20"/>
        <v>0</v>
      </c>
      <c r="R47" s="33">
        <v>9.56</v>
      </c>
      <c r="S47" s="12">
        <v>36.293</v>
      </c>
      <c r="T47" s="12">
        <v>36.293</v>
      </c>
      <c r="U47" s="6">
        <f t="shared" si="21"/>
        <v>0</v>
      </c>
      <c r="V47" s="33">
        <v>24.26</v>
      </c>
      <c r="W47" s="12">
        <v>36.293</v>
      </c>
      <c r="X47" s="12">
        <v>36.293</v>
      </c>
      <c r="Y47" s="6">
        <f t="shared" si="22"/>
        <v>0</v>
      </c>
      <c r="Z47" s="33">
        <v>12.48</v>
      </c>
    </row>
    <row r="48" spans="1:26">
      <c r="A48" s="2" t="s">
        <v>49</v>
      </c>
      <c r="B48" s="12">
        <v>36.293</v>
      </c>
      <c r="C48" s="12">
        <v>36.293</v>
      </c>
      <c r="D48" s="33">
        <v>1.59</v>
      </c>
      <c r="E48" s="56">
        <f t="shared" si="18"/>
        <v>0</v>
      </c>
      <c r="F48" s="12">
        <v>36.293</v>
      </c>
      <c r="G48" s="12">
        <v>36.293</v>
      </c>
      <c r="H48">
        <v>36.28</v>
      </c>
      <c r="I48" s="56">
        <f t="shared" si="17"/>
        <v>0</v>
      </c>
      <c r="J48" s="12">
        <v>36.293</v>
      </c>
      <c r="K48" s="12">
        <v>36.293</v>
      </c>
      <c r="L48" s="51">
        <f t="shared" si="19"/>
        <v>0</v>
      </c>
      <c r="M48" s="33">
        <v>11.26</v>
      </c>
      <c r="O48" s="12">
        <v>36.293</v>
      </c>
      <c r="P48" s="12">
        <v>36.293</v>
      </c>
      <c r="Q48" s="6">
        <f t="shared" si="20"/>
        <v>0</v>
      </c>
      <c r="R48" s="33">
        <v>5.34</v>
      </c>
      <c r="S48" s="12">
        <v>36.293</v>
      </c>
      <c r="T48" s="12">
        <v>36.293</v>
      </c>
      <c r="U48" s="6">
        <f t="shared" si="21"/>
        <v>0</v>
      </c>
      <c r="V48" s="33">
        <v>10.23</v>
      </c>
      <c r="W48" s="12">
        <v>36.293</v>
      </c>
      <c r="X48" s="12">
        <v>36.293</v>
      </c>
      <c r="Y48" s="6">
        <f t="shared" si="22"/>
        <v>0</v>
      </c>
      <c r="Z48" s="33">
        <v>7.62</v>
      </c>
    </row>
    <row r="49" spans="1:26">
      <c r="A49" s="2" t="s">
        <v>50</v>
      </c>
      <c r="B49" s="12">
        <v>36.293</v>
      </c>
      <c r="C49" s="12">
        <v>36.293</v>
      </c>
      <c r="D49" s="33">
        <v>2.22</v>
      </c>
      <c r="E49" s="56">
        <f t="shared" si="18"/>
        <v>0</v>
      </c>
      <c r="F49" s="12">
        <v>36.293</v>
      </c>
      <c r="G49" s="12">
        <v>36.293</v>
      </c>
      <c r="H49">
        <v>48.27</v>
      </c>
      <c r="I49" s="56">
        <f t="shared" si="17"/>
        <v>0</v>
      </c>
      <c r="J49" s="12">
        <v>36.293</v>
      </c>
      <c r="K49" s="12">
        <v>36.293</v>
      </c>
      <c r="L49" s="51">
        <f t="shared" si="19"/>
        <v>0</v>
      </c>
      <c r="M49" s="33">
        <v>38.56</v>
      </c>
      <c r="O49" s="12">
        <v>36.293</v>
      </c>
      <c r="P49" s="12">
        <v>36.293</v>
      </c>
      <c r="Q49" s="6">
        <f t="shared" si="20"/>
        <v>0</v>
      </c>
      <c r="R49" s="33">
        <v>5.96</v>
      </c>
      <c r="S49" s="12">
        <v>36.293</v>
      </c>
      <c r="T49" s="12">
        <v>36.293</v>
      </c>
      <c r="U49" s="6">
        <f t="shared" si="21"/>
        <v>0</v>
      </c>
      <c r="V49" s="33">
        <v>9.49</v>
      </c>
      <c r="W49" s="12">
        <v>36.293</v>
      </c>
      <c r="X49" s="12">
        <v>36.293</v>
      </c>
      <c r="Y49" s="6">
        <f t="shared" si="22"/>
        <v>0</v>
      </c>
      <c r="Z49" s="33">
        <v>7.48</v>
      </c>
    </row>
    <row r="50" spans="1:26">
      <c r="A50" s="2" t="s">
        <v>51</v>
      </c>
      <c r="B50">
        <v>38.3653</v>
      </c>
      <c r="C50">
        <v>38.3653</v>
      </c>
      <c r="D50" s="33">
        <v>9.01</v>
      </c>
      <c r="E50" s="56">
        <f t="shared" si="18"/>
        <v>0</v>
      </c>
      <c r="F50">
        <v>38.3653</v>
      </c>
      <c r="G50">
        <v>38.3653</v>
      </c>
      <c r="H50">
        <v>72.19</v>
      </c>
      <c r="I50" s="56">
        <f t="shared" si="17"/>
        <v>0</v>
      </c>
      <c r="J50">
        <v>38.3653</v>
      </c>
      <c r="K50">
        <v>38.3653</v>
      </c>
      <c r="L50" s="51">
        <f t="shared" si="19"/>
        <v>0</v>
      </c>
      <c r="M50" s="33">
        <v>19.29</v>
      </c>
      <c r="O50">
        <v>38.3653</v>
      </c>
      <c r="P50">
        <v>38.3653</v>
      </c>
      <c r="Q50" s="6">
        <f t="shared" si="20"/>
        <v>0</v>
      </c>
      <c r="R50" s="33">
        <v>10.48</v>
      </c>
      <c r="S50">
        <v>38.3653</v>
      </c>
      <c r="T50">
        <v>38.3653</v>
      </c>
      <c r="U50" s="6">
        <f t="shared" si="21"/>
        <v>0</v>
      </c>
      <c r="V50" s="33">
        <v>16.59</v>
      </c>
      <c r="W50">
        <v>38.3653</v>
      </c>
      <c r="X50">
        <v>38.3653</v>
      </c>
      <c r="Y50" s="6">
        <f t="shared" si="22"/>
        <v>0</v>
      </c>
      <c r="Z50" s="33">
        <v>11.28</v>
      </c>
    </row>
    <row r="51" spans="1:26">
      <c r="A51" s="2" t="s">
        <v>52</v>
      </c>
      <c r="B51">
        <v>38.3653</v>
      </c>
      <c r="C51">
        <v>38.3653</v>
      </c>
      <c r="D51" s="33">
        <v>35.74</v>
      </c>
      <c r="E51" s="56">
        <f t="shared" si="18"/>
        <v>0</v>
      </c>
      <c r="F51">
        <v>38.3653</v>
      </c>
      <c r="G51">
        <v>38.3653</v>
      </c>
      <c r="H51">
        <v>63.01</v>
      </c>
      <c r="I51" s="56">
        <f t="shared" si="17"/>
        <v>0</v>
      </c>
      <c r="J51">
        <v>38.3653</v>
      </c>
      <c r="K51">
        <v>38.3653</v>
      </c>
      <c r="L51" s="51">
        <f t="shared" si="19"/>
        <v>0</v>
      </c>
      <c r="M51" s="33">
        <v>51.46</v>
      </c>
      <c r="O51">
        <v>38.3653</v>
      </c>
      <c r="P51">
        <v>38.3653</v>
      </c>
      <c r="Q51" s="6">
        <f t="shared" si="20"/>
        <v>0</v>
      </c>
      <c r="R51" s="33">
        <v>35.97</v>
      </c>
      <c r="S51">
        <v>38.3653</v>
      </c>
      <c r="T51">
        <v>38.3653</v>
      </c>
      <c r="U51" s="6">
        <f t="shared" si="21"/>
        <v>0</v>
      </c>
      <c r="V51" s="33">
        <v>36.5</v>
      </c>
      <c r="W51">
        <v>38.3653</v>
      </c>
      <c r="X51">
        <v>38.3653</v>
      </c>
      <c r="Y51" s="6">
        <f t="shared" si="22"/>
        <v>0</v>
      </c>
      <c r="Z51" s="33">
        <v>36.09</v>
      </c>
    </row>
    <row r="52" spans="1:26">
      <c r="A52" s="2" t="s">
        <v>53</v>
      </c>
      <c r="B52">
        <v>38.3653</v>
      </c>
      <c r="C52">
        <v>38.3653</v>
      </c>
      <c r="D52" s="33">
        <v>30.69</v>
      </c>
      <c r="E52" s="56">
        <f t="shared" si="18"/>
        <v>0</v>
      </c>
      <c r="F52">
        <v>38.3653</v>
      </c>
      <c r="G52">
        <v>38.3653</v>
      </c>
      <c r="H52" s="50">
        <v>73.5</v>
      </c>
      <c r="I52" s="56">
        <f t="shared" si="17"/>
        <v>0</v>
      </c>
      <c r="J52">
        <v>38.3653</v>
      </c>
      <c r="K52">
        <v>38.3653</v>
      </c>
      <c r="L52" s="51">
        <f t="shared" si="19"/>
        <v>0</v>
      </c>
      <c r="M52" s="33">
        <v>62.35</v>
      </c>
      <c r="O52">
        <v>38.3653</v>
      </c>
      <c r="P52">
        <v>38.3653</v>
      </c>
      <c r="Q52" s="6">
        <f t="shared" si="20"/>
        <v>0</v>
      </c>
      <c r="R52" s="33">
        <v>31.41</v>
      </c>
      <c r="S52">
        <v>38.3653</v>
      </c>
      <c r="T52">
        <v>38.3653</v>
      </c>
      <c r="U52" s="6">
        <f t="shared" si="21"/>
        <v>0</v>
      </c>
      <c r="V52" s="33">
        <v>35.55</v>
      </c>
      <c r="W52">
        <v>38.3653</v>
      </c>
      <c r="X52">
        <v>38.3653</v>
      </c>
      <c r="Y52" s="6">
        <f t="shared" si="22"/>
        <v>0</v>
      </c>
      <c r="Z52" s="33">
        <v>31.7</v>
      </c>
    </row>
    <row r="53" spans="1:26">
      <c r="A53" s="2" t="s">
        <v>54</v>
      </c>
      <c r="B53">
        <v>39.1064</v>
      </c>
      <c r="C53">
        <v>39.1064</v>
      </c>
      <c r="D53" s="33">
        <v>6.14</v>
      </c>
      <c r="E53" s="56">
        <f t="shared" si="18"/>
        <v>0</v>
      </c>
      <c r="F53">
        <v>39.1064</v>
      </c>
      <c r="G53">
        <v>39.1064</v>
      </c>
      <c r="H53">
        <v>245.66</v>
      </c>
      <c r="I53" s="56">
        <f t="shared" si="17"/>
        <v>0</v>
      </c>
      <c r="J53">
        <v>39.1064</v>
      </c>
      <c r="K53">
        <v>39.1064</v>
      </c>
      <c r="L53" s="51">
        <f t="shared" si="19"/>
        <v>0</v>
      </c>
      <c r="M53" s="33">
        <v>183.35</v>
      </c>
      <c r="O53">
        <v>39.1064</v>
      </c>
      <c r="P53">
        <v>39.1064</v>
      </c>
      <c r="Q53" s="6">
        <f t="shared" si="20"/>
        <v>0</v>
      </c>
      <c r="R53" s="33">
        <v>56.43</v>
      </c>
      <c r="S53">
        <v>39.1064</v>
      </c>
      <c r="T53">
        <v>39.1064</v>
      </c>
      <c r="U53" s="6">
        <f t="shared" si="21"/>
        <v>0</v>
      </c>
      <c r="V53" s="33">
        <v>175.89</v>
      </c>
      <c r="W53">
        <v>39.1064</v>
      </c>
      <c r="X53">
        <v>39.1064</v>
      </c>
      <c r="Y53" s="6">
        <f t="shared" si="22"/>
        <v>0</v>
      </c>
      <c r="Z53" s="33">
        <v>74.2</v>
      </c>
    </row>
    <row r="54" spans="1:26">
      <c r="A54" s="2" t="s">
        <v>55</v>
      </c>
      <c r="B54">
        <v>39.1064</v>
      </c>
      <c r="C54">
        <v>39.1064</v>
      </c>
      <c r="D54" s="33">
        <v>71.78</v>
      </c>
      <c r="E54" s="56">
        <f t="shared" si="18"/>
        <v>0</v>
      </c>
      <c r="F54">
        <v>39.1064</v>
      </c>
      <c r="G54">
        <v>39.1064</v>
      </c>
      <c r="H54">
        <v>171.97</v>
      </c>
      <c r="I54" s="56">
        <f t="shared" si="17"/>
        <v>0</v>
      </c>
      <c r="J54">
        <v>39.1064</v>
      </c>
      <c r="K54">
        <v>39.1064</v>
      </c>
      <c r="L54" s="51">
        <f t="shared" si="19"/>
        <v>0</v>
      </c>
      <c r="M54" s="33">
        <v>142.61</v>
      </c>
      <c r="O54">
        <v>39.1064</v>
      </c>
      <c r="P54">
        <v>39.1064</v>
      </c>
      <c r="Q54" s="6">
        <f t="shared" si="20"/>
        <v>0</v>
      </c>
      <c r="R54" s="33">
        <v>102.83</v>
      </c>
      <c r="S54">
        <v>39.1064</v>
      </c>
      <c r="T54">
        <v>39.1064</v>
      </c>
      <c r="U54" s="6">
        <f t="shared" si="21"/>
        <v>0</v>
      </c>
      <c r="V54" s="33">
        <v>139.3</v>
      </c>
      <c r="W54">
        <v>39.1064</v>
      </c>
      <c r="X54">
        <v>39.1064</v>
      </c>
      <c r="Y54" s="6">
        <f t="shared" si="22"/>
        <v>0</v>
      </c>
      <c r="Z54" s="33">
        <v>114.58</v>
      </c>
    </row>
    <row r="55" spans="1:26">
      <c r="A55" s="2" t="s">
        <v>56</v>
      </c>
      <c r="B55">
        <v>39.1064</v>
      </c>
      <c r="C55">
        <v>39.1064</v>
      </c>
      <c r="D55" s="33">
        <v>17.01</v>
      </c>
      <c r="E55" s="56">
        <f t="shared" si="18"/>
        <v>0</v>
      </c>
      <c r="F55">
        <v>39.1064</v>
      </c>
      <c r="G55">
        <v>39.1064</v>
      </c>
      <c r="H55">
        <v>189.93</v>
      </c>
      <c r="I55" s="56">
        <f t="shared" si="17"/>
        <v>0</v>
      </c>
      <c r="J55">
        <v>39.1064</v>
      </c>
      <c r="K55">
        <v>39.1064</v>
      </c>
      <c r="L55" s="51">
        <f t="shared" si="19"/>
        <v>0</v>
      </c>
      <c r="M55" s="33">
        <v>169.48</v>
      </c>
      <c r="O55">
        <v>39.1064</v>
      </c>
      <c r="P55">
        <v>39.1064</v>
      </c>
      <c r="Q55" s="6">
        <f t="shared" si="20"/>
        <v>0</v>
      </c>
      <c r="R55" s="33">
        <v>58.51</v>
      </c>
      <c r="S55">
        <v>39.1064</v>
      </c>
      <c r="T55">
        <v>39.1064</v>
      </c>
      <c r="U55" s="6">
        <f t="shared" si="21"/>
        <v>0</v>
      </c>
      <c r="V55" s="33">
        <v>147.78</v>
      </c>
      <c r="W55">
        <v>39.1064</v>
      </c>
      <c r="X55">
        <v>39.1064</v>
      </c>
      <c r="Y55" s="6">
        <f t="shared" si="22"/>
        <v>0</v>
      </c>
      <c r="Z55" s="33">
        <v>69.57</v>
      </c>
    </row>
    <row r="56" spans="1:26">
      <c r="A56" s="2" t="s">
        <v>57</v>
      </c>
      <c r="B56">
        <v>39.1064</v>
      </c>
      <c r="C56">
        <v>39.1064</v>
      </c>
      <c r="D56" s="33">
        <v>11.09</v>
      </c>
      <c r="E56" s="56">
        <f t="shared" si="18"/>
        <v>0</v>
      </c>
      <c r="F56">
        <v>39.1064</v>
      </c>
      <c r="G56">
        <v>39.1064</v>
      </c>
      <c r="H56">
        <v>374.72</v>
      </c>
      <c r="I56" s="56">
        <f t="shared" si="17"/>
        <v>0</v>
      </c>
      <c r="J56">
        <v>39.1064</v>
      </c>
      <c r="K56">
        <v>39.1064</v>
      </c>
      <c r="L56" s="51">
        <f t="shared" si="19"/>
        <v>0</v>
      </c>
      <c r="M56" s="33">
        <v>162.74</v>
      </c>
      <c r="O56">
        <v>39.1064</v>
      </c>
      <c r="P56">
        <v>39.1064</v>
      </c>
      <c r="Q56" s="6">
        <f t="shared" si="20"/>
        <v>0</v>
      </c>
      <c r="R56" s="33">
        <v>23.33</v>
      </c>
      <c r="S56">
        <v>39.1064</v>
      </c>
      <c r="T56">
        <v>39.1064</v>
      </c>
      <c r="U56" s="6">
        <f t="shared" si="21"/>
        <v>0</v>
      </c>
      <c r="V56" s="33">
        <v>51.94</v>
      </c>
      <c r="W56">
        <v>39.1064</v>
      </c>
      <c r="X56">
        <v>39.1064</v>
      </c>
      <c r="Y56" s="6">
        <f t="shared" si="22"/>
        <v>0</v>
      </c>
      <c r="Z56" s="33">
        <v>28.95</v>
      </c>
    </row>
    <row r="57" spans="1:26">
      <c r="A57" s="2" t="s">
        <v>58</v>
      </c>
      <c r="B57">
        <v>39.1064</v>
      </c>
      <c r="C57">
        <v>39.1064</v>
      </c>
      <c r="D57" s="33">
        <v>10.08</v>
      </c>
      <c r="E57" s="56">
        <f t="shared" si="18"/>
        <v>0</v>
      </c>
      <c r="F57">
        <v>39.1064</v>
      </c>
      <c r="G57">
        <v>39.1064</v>
      </c>
      <c r="H57">
        <v>143.59</v>
      </c>
      <c r="I57" s="56">
        <f t="shared" si="17"/>
        <v>0</v>
      </c>
      <c r="J57">
        <v>39.1064</v>
      </c>
      <c r="K57">
        <v>39.1064</v>
      </c>
      <c r="L57" s="51">
        <f t="shared" si="19"/>
        <v>0</v>
      </c>
      <c r="M57" s="33">
        <v>71.58</v>
      </c>
      <c r="O57">
        <v>39.1064</v>
      </c>
      <c r="P57">
        <v>39.1064</v>
      </c>
      <c r="Q57" s="6">
        <f t="shared" si="20"/>
        <v>0</v>
      </c>
      <c r="R57" s="33">
        <v>28.01</v>
      </c>
      <c r="S57">
        <v>39.1064</v>
      </c>
      <c r="T57">
        <v>39.1064</v>
      </c>
      <c r="U57" s="6">
        <f t="shared" si="21"/>
        <v>0</v>
      </c>
      <c r="V57" s="33">
        <v>69.33</v>
      </c>
      <c r="W57">
        <v>39.1064</v>
      </c>
      <c r="X57">
        <v>39.1064</v>
      </c>
      <c r="Y57" s="6">
        <f t="shared" si="22"/>
        <v>0</v>
      </c>
      <c r="Z57" s="33">
        <v>36.07</v>
      </c>
    </row>
    <row r="58" spans="1:26">
      <c r="A58" s="2" t="s">
        <v>59</v>
      </c>
      <c r="B58">
        <v>39.1064</v>
      </c>
      <c r="C58">
        <v>39.1064</v>
      </c>
      <c r="D58" s="33">
        <v>13.34</v>
      </c>
      <c r="E58" s="56">
        <f t="shared" si="18"/>
        <v>0</v>
      </c>
      <c r="F58">
        <v>39.1064</v>
      </c>
      <c r="G58">
        <v>39.1064</v>
      </c>
      <c r="H58">
        <v>144.84</v>
      </c>
      <c r="I58" s="56">
        <f t="shared" si="17"/>
        <v>0</v>
      </c>
      <c r="J58">
        <v>39.1064</v>
      </c>
      <c r="K58">
        <v>39.1064</v>
      </c>
      <c r="L58" s="51">
        <f t="shared" si="19"/>
        <v>0</v>
      </c>
      <c r="M58" s="33">
        <v>74.15</v>
      </c>
      <c r="O58">
        <v>39.1064</v>
      </c>
      <c r="P58">
        <v>39.1064</v>
      </c>
      <c r="Q58" s="6">
        <f t="shared" si="20"/>
        <v>0</v>
      </c>
      <c r="R58" s="33">
        <v>18.1</v>
      </c>
      <c r="S58">
        <v>39.1064</v>
      </c>
      <c r="T58">
        <v>39.1064</v>
      </c>
      <c r="U58" s="6">
        <f t="shared" si="21"/>
        <v>0</v>
      </c>
      <c r="V58" s="33">
        <v>26.94</v>
      </c>
      <c r="W58">
        <v>39.1064</v>
      </c>
      <c r="X58">
        <v>39.1064</v>
      </c>
      <c r="Y58" s="6">
        <f t="shared" si="22"/>
        <v>0</v>
      </c>
      <c r="Z58" s="33">
        <v>19.87</v>
      </c>
    </row>
    <row r="59" spans="1:26">
      <c r="A59" s="2" t="s">
        <v>23</v>
      </c>
      <c r="B59">
        <f>AVERAGE(B47:B58)</f>
        <v>38.217775</v>
      </c>
      <c r="C59">
        <f t="shared" ref="C59:Z59" si="24">AVERAGE(C47:C58)</f>
        <v>38.217775</v>
      </c>
      <c r="D59">
        <f t="shared" si="24"/>
        <v>17.6616666666667</v>
      </c>
      <c r="E59">
        <f t="shared" si="24"/>
        <v>0</v>
      </c>
      <c r="F59">
        <f t="shared" si="24"/>
        <v>38.217775</v>
      </c>
      <c r="G59">
        <f t="shared" si="24"/>
        <v>38.217775</v>
      </c>
      <c r="H59">
        <f t="shared" si="24"/>
        <v>134.423333333333</v>
      </c>
      <c r="I59">
        <f t="shared" si="24"/>
        <v>0</v>
      </c>
      <c r="J59">
        <f t="shared" si="24"/>
        <v>38.217775</v>
      </c>
      <c r="K59">
        <f t="shared" si="24"/>
        <v>38.217775</v>
      </c>
      <c r="L59">
        <f t="shared" si="24"/>
        <v>0</v>
      </c>
      <c r="M59">
        <f t="shared" si="24"/>
        <v>85.445</v>
      </c>
      <c r="O59">
        <f t="shared" si="24"/>
        <v>38.217775</v>
      </c>
      <c r="P59">
        <f t="shared" si="24"/>
        <v>38.217775</v>
      </c>
      <c r="Q59">
        <f t="shared" si="24"/>
        <v>0</v>
      </c>
      <c r="R59">
        <f t="shared" si="24"/>
        <v>32.1608333333333</v>
      </c>
      <c r="S59">
        <f t="shared" si="24"/>
        <v>38.217775</v>
      </c>
      <c r="T59">
        <f t="shared" si="24"/>
        <v>38.217775</v>
      </c>
      <c r="U59">
        <f t="shared" si="24"/>
        <v>0</v>
      </c>
      <c r="V59">
        <f t="shared" si="24"/>
        <v>61.9833333333333</v>
      </c>
      <c r="W59">
        <f t="shared" si="24"/>
        <v>38.217775</v>
      </c>
      <c r="X59">
        <f t="shared" si="24"/>
        <v>38.217775</v>
      </c>
      <c r="Y59">
        <f t="shared" si="24"/>
        <v>0</v>
      </c>
      <c r="Z59">
        <f t="shared" si="24"/>
        <v>37.4908333333333</v>
      </c>
    </row>
  </sheetData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88"/>
  <sheetViews>
    <sheetView topLeftCell="A19" workbookViewId="0">
      <selection activeCell="A31" sqref="A31:C43"/>
    </sheetView>
  </sheetViews>
  <sheetFormatPr defaultColWidth="8.72727272727273" defaultRowHeight="14"/>
  <cols>
    <col min="1" max="1" width="21.2727272727273" style="2" customWidth="1"/>
    <col min="2" max="2" width="10.4545454545455" style="2" customWidth="1"/>
    <col min="3" max="3" width="10.9090909090909" style="2" customWidth="1"/>
    <col min="4" max="4" width="7.36363636363636" style="2" customWidth="1"/>
    <col min="5" max="5" width="11.2727272727273" style="2" customWidth="1"/>
    <col min="6" max="6" width="7.63636363636364" style="2" customWidth="1"/>
    <col min="7" max="7" width="11.8181818181818" style="2" customWidth="1"/>
    <col min="8" max="8" width="12.9090909090909" style="2" customWidth="1"/>
    <col min="9" max="9" width="12.0909090909091" style="2" customWidth="1"/>
    <col min="10" max="10" width="10.3636363636364" style="2" customWidth="1"/>
    <col min="11" max="11" width="8.54545454545454" style="2" customWidth="1"/>
    <col min="12" max="12" width="12" style="2" customWidth="1"/>
    <col min="13" max="13" width="12.8181818181818" style="2" customWidth="1"/>
    <col min="14" max="14" width="13.9090909090909" style="2" customWidth="1"/>
    <col min="15" max="15" width="10.9090909090909" style="2" customWidth="1"/>
    <col min="16" max="16" width="6.90909090909091" style="2" customWidth="1"/>
    <col min="17" max="17" width="9" style="2" customWidth="1"/>
    <col min="18" max="18" width="11.0909090909091" style="2" customWidth="1"/>
    <col min="19" max="19" width="11.7272727272727" style="2" customWidth="1"/>
    <col min="20" max="20" width="11.5454545454545" style="2" customWidth="1"/>
    <col min="21" max="21" width="5.72727272727273" style="2" customWidth="1"/>
    <col min="22" max="22" width="13.4545454545455" style="2" customWidth="1"/>
    <col min="23" max="23" width="12.4545454545455" style="2" customWidth="1"/>
    <col min="24" max="25" width="11.0909090909091" style="2" customWidth="1"/>
    <col min="26" max="26" width="8" style="2" customWidth="1"/>
    <col min="27" max="27" width="12.8181818181818" style="2"/>
    <col min="28" max="28" width="6.81818181818182" style="2" customWidth="1"/>
    <col min="29" max="29" width="11.5454545454545" style="51" customWidth="1"/>
    <col min="30" max="30" width="12.6363636363636" style="2" customWidth="1"/>
    <col min="31" max="16384" width="8.72727272727273" style="2"/>
  </cols>
  <sheetData>
    <row r="1" customFormat="1" spans="1:30">
      <c r="A1" s="2" t="s">
        <v>0</v>
      </c>
      <c r="B1" s="2" t="s">
        <v>1</v>
      </c>
      <c r="C1" s="2"/>
      <c r="D1" s="2"/>
      <c r="E1" s="2"/>
      <c r="F1" s="2"/>
      <c r="G1" s="2" t="s">
        <v>2</v>
      </c>
      <c r="H1" s="2"/>
      <c r="I1" s="2"/>
      <c r="J1" s="2"/>
      <c r="K1" s="2"/>
      <c r="L1" s="2" t="s">
        <v>4</v>
      </c>
      <c r="M1" s="2"/>
      <c r="N1" s="2"/>
      <c r="O1" s="2" t="s">
        <v>3</v>
      </c>
      <c r="P1" s="2"/>
      <c r="Q1" s="2" t="s">
        <v>5</v>
      </c>
      <c r="R1" s="2"/>
      <c r="S1" s="2"/>
      <c r="T1" s="2"/>
      <c r="U1" s="2"/>
      <c r="V1" s="2" t="s">
        <v>6</v>
      </c>
      <c r="W1" s="2"/>
      <c r="X1" s="2"/>
      <c r="Y1" s="2"/>
      <c r="Z1" s="2"/>
      <c r="AA1" s="2" t="s">
        <v>7</v>
      </c>
      <c r="AB1" s="2"/>
      <c r="AC1" s="51"/>
      <c r="AD1" s="2"/>
    </row>
    <row r="2" s="2" customFormat="1" spans="1:30">
      <c r="B2" s="2" t="s">
        <v>8</v>
      </c>
      <c r="C2" s="2" t="s">
        <v>9</v>
      </c>
      <c r="D2" s="2" t="s">
        <v>10</v>
      </c>
      <c r="E2" s="2" t="s">
        <v>3</v>
      </c>
      <c r="G2" s="2" t="s">
        <v>8</v>
      </c>
      <c r="H2" s="2" t="s">
        <v>9</v>
      </c>
      <c r="I2" s="2" t="s">
        <v>10</v>
      </c>
      <c r="J2" s="2" t="s">
        <v>3</v>
      </c>
      <c r="L2" s="2" t="s">
        <v>8</v>
      </c>
      <c r="M2" s="2" t="s">
        <v>9</v>
      </c>
      <c r="N2" s="2" t="s">
        <v>10</v>
      </c>
      <c r="Q2" s="2" t="s">
        <v>8</v>
      </c>
      <c r="R2" s="2" t="s">
        <v>9</v>
      </c>
      <c r="S2" s="2" t="s">
        <v>10</v>
      </c>
      <c r="T2" s="2" t="s">
        <v>3</v>
      </c>
      <c r="V2" s="2" t="s">
        <v>8</v>
      </c>
      <c r="W2" s="2" t="s">
        <v>9</v>
      </c>
      <c r="X2" s="2" t="s">
        <v>10</v>
      </c>
      <c r="Y2" s="2" t="s">
        <v>3</v>
      </c>
      <c r="AA2" s="2" t="s">
        <v>8</v>
      </c>
      <c r="AB2" s="2" t="s">
        <v>9</v>
      </c>
      <c r="AC2" s="51" t="s">
        <v>10</v>
      </c>
      <c r="AD2" s="2" t="s">
        <v>3</v>
      </c>
    </row>
    <row r="3" s="2" customFormat="1" spans="1:30">
      <c r="A3" s="2" t="s">
        <v>60</v>
      </c>
      <c r="B3" s="12">
        <v>62.6755</v>
      </c>
      <c r="C3" s="12">
        <v>62.6755</v>
      </c>
      <c r="D3" s="18">
        <f t="shared" ref="D3:D16" si="0">(C3-B3)/C3</f>
        <v>0</v>
      </c>
      <c r="E3" s="19">
        <v>9.33</v>
      </c>
      <c r="F3" s="52"/>
      <c r="G3" s="12">
        <v>62.6755</v>
      </c>
      <c r="H3" s="12">
        <v>62.6755</v>
      </c>
      <c r="I3" s="18">
        <f>(H3-G3)/H3</f>
        <v>0</v>
      </c>
      <c r="J3" s="19">
        <v>236.33</v>
      </c>
      <c r="K3" s="12"/>
      <c r="L3" s="12">
        <v>62.6755</v>
      </c>
      <c r="M3" s="12">
        <v>62.6755</v>
      </c>
      <c r="N3" s="18">
        <f>(M3-L3)/M3</f>
        <v>0</v>
      </c>
      <c r="O3" s="22">
        <v>62.53</v>
      </c>
      <c r="P3" s="12"/>
      <c r="Q3" s="12">
        <v>62.6755</v>
      </c>
      <c r="R3" s="12">
        <v>62.6755</v>
      </c>
      <c r="S3" s="18">
        <f>(R3-Q3)/R3</f>
        <v>0</v>
      </c>
      <c r="T3" s="22">
        <v>10.52</v>
      </c>
      <c r="U3" s="12"/>
      <c r="V3" s="12">
        <v>62.6755</v>
      </c>
      <c r="W3" s="12">
        <v>62.6755</v>
      </c>
      <c r="X3" s="18">
        <f>(W3-V3)/W3</f>
        <v>0</v>
      </c>
      <c r="Y3" s="22">
        <v>12.45</v>
      </c>
      <c r="Z3" s="12"/>
      <c r="AA3" s="12">
        <v>62.6755</v>
      </c>
      <c r="AB3" s="12">
        <v>62.6755</v>
      </c>
      <c r="AC3" s="51">
        <f>(AB3-AA3)/AB3</f>
        <v>0</v>
      </c>
      <c r="AD3" s="22">
        <v>15.23</v>
      </c>
    </row>
    <row r="4" s="2" customFormat="1" spans="1:30">
      <c r="A4" s="2" t="s">
        <v>61</v>
      </c>
      <c r="B4" s="12">
        <v>64.145</v>
      </c>
      <c r="C4" s="12">
        <v>64.145</v>
      </c>
      <c r="D4" s="18">
        <f t="shared" si="0"/>
        <v>0</v>
      </c>
      <c r="E4" s="19">
        <v>1.93</v>
      </c>
      <c r="F4" s="52"/>
      <c r="G4" s="12">
        <v>64.145</v>
      </c>
      <c r="H4" s="12">
        <v>64.145</v>
      </c>
      <c r="I4" s="18">
        <f t="shared" ref="I4:I16" si="1">(H4-G4)/H4</f>
        <v>0</v>
      </c>
      <c r="J4" s="19">
        <v>6.22</v>
      </c>
      <c r="K4" s="12"/>
      <c r="L4" s="12">
        <v>64.145</v>
      </c>
      <c r="M4" s="12">
        <v>64.145</v>
      </c>
      <c r="N4" s="18">
        <f t="shared" ref="N4:N35" si="2">(M4-L4)/M4</f>
        <v>0</v>
      </c>
      <c r="O4" s="22">
        <v>8.87</v>
      </c>
      <c r="P4" s="12"/>
      <c r="Q4" s="12">
        <v>64.145</v>
      </c>
      <c r="R4" s="12">
        <v>64.145</v>
      </c>
      <c r="S4" s="18">
        <f t="shared" ref="S4:S35" si="3">(R4-Q4)/R4</f>
        <v>0</v>
      </c>
      <c r="T4" s="22">
        <v>1.54</v>
      </c>
      <c r="U4" s="12"/>
      <c r="V4" s="12">
        <v>64.145</v>
      </c>
      <c r="W4" s="12">
        <v>64.145</v>
      </c>
      <c r="X4" s="18">
        <f t="shared" ref="X4:X35" si="4">(W4-V4)/W4</f>
        <v>0</v>
      </c>
      <c r="Y4" s="22">
        <v>1.42</v>
      </c>
      <c r="Z4" s="12"/>
      <c r="AA4" s="12">
        <v>64.145</v>
      </c>
      <c r="AB4" s="12">
        <v>64.145</v>
      </c>
      <c r="AC4" s="51">
        <f t="shared" ref="AC4:AC35" si="5">(AB4-AA4)/AB4</f>
        <v>0</v>
      </c>
      <c r="AD4" s="22">
        <v>1.63</v>
      </c>
    </row>
    <row r="5" s="2" customFormat="1" spans="1:30">
      <c r="A5" s="2" t="s">
        <v>62</v>
      </c>
      <c r="B5" s="12">
        <v>64.145</v>
      </c>
      <c r="C5" s="12">
        <v>64.145</v>
      </c>
      <c r="D5" s="18">
        <f t="shared" si="0"/>
        <v>0</v>
      </c>
      <c r="E5" s="19">
        <v>0.91</v>
      </c>
      <c r="F5" s="52"/>
      <c r="G5" s="12">
        <v>64.145</v>
      </c>
      <c r="H5" s="12">
        <v>64.145</v>
      </c>
      <c r="I5" s="18">
        <f t="shared" si="1"/>
        <v>0</v>
      </c>
      <c r="J5" s="19">
        <v>6.5</v>
      </c>
      <c r="K5" s="12"/>
      <c r="L5" s="12">
        <v>64.145</v>
      </c>
      <c r="M5" s="12">
        <v>64.145</v>
      </c>
      <c r="N5" s="18">
        <f t="shared" si="2"/>
        <v>0</v>
      </c>
      <c r="O5" s="22">
        <v>5.51</v>
      </c>
      <c r="P5" s="12"/>
      <c r="Q5" s="12">
        <v>64.145</v>
      </c>
      <c r="R5" s="12">
        <v>64.145</v>
      </c>
      <c r="S5" s="18">
        <f t="shared" si="3"/>
        <v>0</v>
      </c>
      <c r="T5" s="22">
        <v>1.06</v>
      </c>
      <c r="U5" s="12"/>
      <c r="V5" s="12">
        <v>64.145</v>
      </c>
      <c r="W5" s="12">
        <v>64.145</v>
      </c>
      <c r="X5" s="18">
        <f t="shared" si="4"/>
        <v>0</v>
      </c>
      <c r="Y5" s="22">
        <v>1.13</v>
      </c>
      <c r="Z5" s="12"/>
      <c r="AA5" s="12">
        <v>64.145</v>
      </c>
      <c r="AB5" s="12">
        <v>64.145</v>
      </c>
      <c r="AC5" s="51">
        <f t="shared" si="5"/>
        <v>0</v>
      </c>
      <c r="AD5" s="22">
        <v>1.33</v>
      </c>
    </row>
    <row r="6" s="2" customFormat="1" spans="1:30">
      <c r="A6" s="2" t="s">
        <v>63</v>
      </c>
      <c r="B6" s="12">
        <v>63.5085</v>
      </c>
      <c r="C6" s="12">
        <v>63.5085</v>
      </c>
      <c r="D6" s="18">
        <f t="shared" si="0"/>
        <v>0</v>
      </c>
      <c r="E6" s="19">
        <v>9.59</v>
      </c>
      <c r="F6" s="52"/>
      <c r="G6" s="12">
        <v>63.5085</v>
      </c>
      <c r="H6" s="12">
        <v>63.8637</v>
      </c>
      <c r="I6" s="18">
        <f t="shared" si="1"/>
        <v>0.00556184499175594</v>
      </c>
      <c r="J6" s="19">
        <v>781.9</v>
      </c>
      <c r="K6" s="12"/>
      <c r="L6" s="12">
        <v>63.5085</v>
      </c>
      <c r="M6" s="12">
        <v>63.8637</v>
      </c>
      <c r="N6" s="18">
        <f t="shared" si="2"/>
        <v>0.00556184499175594</v>
      </c>
      <c r="O6" s="22">
        <v>59.05</v>
      </c>
      <c r="P6" s="12"/>
      <c r="Q6" s="12">
        <v>63.5085</v>
      </c>
      <c r="R6" s="12">
        <v>63.8637</v>
      </c>
      <c r="S6" s="18">
        <f t="shared" si="3"/>
        <v>0.00556184499175594</v>
      </c>
      <c r="T6" s="22">
        <v>9.21</v>
      </c>
      <c r="U6" s="12"/>
      <c r="V6" s="12">
        <v>63.5085</v>
      </c>
      <c r="W6" s="12">
        <v>63.8637</v>
      </c>
      <c r="X6" s="18">
        <f t="shared" si="4"/>
        <v>0.00556184499175594</v>
      </c>
      <c r="Y6" s="22">
        <v>76.2</v>
      </c>
      <c r="Z6" s="12"/>
      <c r="AA6" s="12">
        <v>63.5085</v>
      </c>
      <c r="AB6" s="12">
        <v>63.8637</v>
      </c>
      <c r="AC6" s="51">
        <f t="shared" si="5"/>
        <v>0.00556184499175594</v>
      </c>
      <c r="AD6" s="22">
        <v>12.24</v>
      </c>
    </row>
    <row r="7" s="2" customFormat="1" spans="1:30">
      <c r="A7" s="2" t="s">
        <v>64</v>
      </c>
      <c r="B7" s="12">
        <v>64.3342</v>
      </c>
      <c r="C7" s="12">
        <v>64.3342</v>
      </c>
      <c r="D7" s="18">
        <f t="shared" si="0"/>
        <v>0</v>
      </c>
      <c r="E7" s="19">
        <v>1.23</v>
      </c>
      <c r="F7" s="52"/>
      <c r="G7" s="12">
        <v>64.3342</v>
      </c>
      <c r="H7" s="12">
        <v>64.3342</v>
      </c>
      <c r="I7" s="18">
        <f t="shared" si="1"/>
        <v>0</v>
      </c>
      <c r="J7" s="19">
        <v>2.28</v>
      </c>
      <c r="K7" s="12"/>
      <c r="L7" s="12">
        <v>64.3342</v>
      </c>
      <c r="M7" s="12">
        <v>64.3342</v>
      </c>
      <c r="N7" s="18">
        <f t="shared" si="2"/>
        <v>0</v>
      </c>
      <c r="O7" s="22">
        <v>1.85</v>
      </c>
      <c r="P7" s="12"/>
      <c r="Q7" s="12">
        <v>64.3342</v>
      </c>
      <c r="R7" s="12">
        <v>64.3342</v>
      </c>
      <c r="S7" s="18">
        <f t="shared" si="3"/>
        <v>0</v>
      </c>
      <c r="T7" s="22">
        <v>1.28</v>
      </c>
      <c r="U7" s="12"/>
      <c r="V7" s="12">
        <v>64.3342</v>
      </c>
      <c r="W7" s="12">
        <v>64.3342</v>
      </c>
      <c r="X7" s="18">
        <f t="shared" si="4"/>
        <v>0</v>
      </c>
      <c r="Y7" s="22">
        <v>1.4</v>
      </c>
      <c r="Z7" s="12"/>
      <c r="AA7" s="12">
        <v>64.3342</v>
      </c>
      <c r="AB7" s="12">
        <v>64.3342</v>
      </c>
      <c r="AC7" s="51">
        <f t="shared" si="5"/>
        <v>0</v>
      </c>
      <c r="AD7" s="22">
        <v>1.31</v>
      </c>
    </row>
    <row r="8" s="2" customFormat="1" spans="1:30">
      <c r="A8" s="2" t="s">
        <v>65</v>
      </c>
      <c r="B8" s="12">
        <v>64.3342</v>
      </c>
      <c r="C8" s="12">
        <v>64.3342</v>
      </c>
      <c r="D8" s="18">
        <f t="shared" si="0"/>
        <v>0</v>
      </c>
      <c r="E8" s="19">
        <v>4.59</v>
      </c>
      <c r="F8" s="52"/>
      <c r="G8" s="12">
        <v>64.3342</v>
      </c>
      <c r="H8" s="12">
        <v>64.3342</v>
      </c>
      <c r="I8" s="18">
        <f t="shared" si="1"/>
        <v>0</v>
      </c>
      <c r="J8" s="19">
        <v>7.42</v>
      </c>
      <c r="K8" s="12"/>
      <c r="L8" s="12">
        <v>64.3342</v>
      </c>
      <c r="M8" s="12">
        <v>64.3342</v>
      </c>
      <c r="N8" s="18">
        <f t="shared" si="2"/>
        <v>0</v>
      </c>
      <c r="O8" s="22">
        <v>7.17</v>
      </c>
      <c r="P8" s="12"/>
      <c r="Q8" s="12">
        <v>64.3342</v>
      </c>
      <c r="R8" s="12">
        <v>64.3342</v>
      </c>
      <c r="S8" s="18">
        <f t="shared" si="3"/>
        <v>0</v>
      </c>
      <c r="T8" s="22">
        <v>4.6</v>
      </c>
      <c r="U8" s="12"/>
      <c r="V8" s="12">
        <v>64.3342</v>
      </c>
      <c r="W8" s="12">
        <v>64.3342</v>
      </c>
      <c r="X8" s="18">
        <f t="shared" si="4"/>
        <v>0</v>
      </c>
      <c r="Y8" s="22">
        <v>4.61</v>
      </c>
      <c r="Z8" s="12"/>
      <c r="AA8" s="12">
        <v>64.3342</v>
      </c>
      <c r="AB8" s="12">
        <v>64.3342</v>
      </c>
      <c r="AC8" s="51">
        <f t="shared" si="5"/>
        <v>0</v>
      </c>
      <c r="AD8" s="22">
        <v>4.7</v>
      </c>
    </row>
    <row r="9" s="2" customFormat="1" spans="1:30">
      <c r="A9" s="2" t="s">
        <v>66</v>
      </c>
      <c r="B9" s="12">
        <v>63.5085</v>
      </c>
      <c r="C9" s="12">
        <v>63.5085</v>
      </c>
      <c r="D9" s="18">
        <f t="shared" si="0"/>
        <v>0</v>
      </c>
      <c r="E9" s="19">
        <v>7.83</v>
      </c>
      <c r="F9" s="52"/>
      <c r="G9" s="12">
        <v>63.5085</v>
      </c>
      <c r="H9" s="12">
        <v>64.3342</v>
      </c>
      <c r="I9" s="18">
        <f t="shared" si="1"/>
        <v>0.0128345421253392</v>
      </c>
      <c r="J9" s="19">
        <v>904.71</v>
      </c>
      <c r="K9" s="12"/>
      <c r="L9" s="12">
        <v>63.5085</v>
      </c>
      <c r="M9" s="12">
        <v>64.3342</v>
      </c>
      <c r="N9" s="18">
        <f t="shared" si="2"/>
        <v>0.0128345421253392</v>
      </c>
      <c r="O9" s="22">
        <v>241.53</v>
      </c>
      <c r="P9" s="12"/>
      <c r="Q9" s="12">
        <v>63.5085</v>
      </c>
      <c r="R9" s="12">
        <v>64.3342</v>
      </c>
      <c r="S9" s="18">
        <f t="shared" si="3"/>
        <v>0.0128345421253392</v>
      </c>
      <c r="T9" s="22">
        <v>11.21</v>
      </c>
      <c r="U9" s="12"/>
      <c r="V9" s="12">
        <v>63.5085</v>
      </c>
      <c r="W9" s="12">
        <v>64.3342</v>
      </c>
      <c r="X9" s="18">
        <f t="shared" si="4"/>
        <v>0.0128345421253392</v>
      </c>
      <c r="Y9" s="22">
        <v>205.55</v>
      </c>
      <c r="Z9" s="12"/>
      <c r="AA9" s="12">
        <v>63.5085</v>
      </c>
      <c r="AB9" s="12">
        <v>64.3342</v>
      </c>
      <c r="AC9" s="51">
        <f t="shared" si="5"/>
        <v>0.0128345421253392</v>
      </c>
      <c r="AD9" s="22">
        <v>31.32</v>
      </c>
    </row>
    <row r="10" s="2" customFormat="1" spans="1:30">
      <c r="A10" s="2" t="s">
        <v>67</v>
      </c>
      <c r="B10" s="12">
        <v>64.3342</v>
      </c>
      <c r="C10" s="12">
        <v>64.3342</v>
      </c>
      <c r="D10" s="18">
        <f t="shared" si="0"/>
        <v>0</v>
      </c>
      <c r="E10" s="19">
        <v>2.14</v>
      </c>
      <c r="F10" s="52"/>
      <c r="G10" s="12">
        <v>64.3342</v>
      </c>
      <c r="H10" s="12">
        <v>64.3342</v>
      </c>
      <c r="I10" s="18">
        <f t="shared" si="1"/>
        <v>0</v>
      </c>
      <c r="J10" s="19">
        <v>32.95</v>
      </c>
      <c r="K10" s="12"/>
      <c r="L10" s="12">
        <v>64.3342</v>
      </c>
      <c r="M10" s="12">
        <v>64.3342</v>
      </c>
      <c r="N10" s="18">
        <f t="shared" si="2"/>
        <v>0</v>
      </c>
      <c r="O10" s="22">
        <v>30.83</v>
      </c>
      <c r="P10" s="12"/>
      <c r="Q10" s="12">
        <v>64.3342</v>
      </c>
      <c r="R10" s="12">
        <v>64.3342</v>
      </c>
      <c r="S10" s="18">
        <f t="shared" si="3"/>
        <v>0</v>
      </c>
      <c r="T10" s="22">
        <v>2.25</v>
      </c>
      <c r="U10" s="12"/>
      <c r="V10" s="12">
        <v>64.3342</v>
      </c>
      <c r="W10" s="12">
        <v>64.3342</v>
      </c>
      <c r="X10" s="18">
        <f t="shared" si="4"/>
        <v>0</v>
      </c>
      <c r="Y10" s="22">
        <v>2.88</v>
      </c>
      <c r="Z10" s="12"/>
      <c r="AA10" s="12">
        <v>64.3342</v>
      </c>
      <c r="AB10" s="12">
        <v>64.3342</v>
      </c>
      <c r="AC10" s="51">
        <f t="shared" si="5"/>
        <v>0</v>
      </c>
      <c r="AD10" s="22">
        <v>4.28</v>
      </c>
    </row>
    <row r="11" s="2" customFormat="1" spans="1:30">
      <c r="A11" s="2" t="s">
        <v>68</v>
      </c>
      <c r="B11" s="12">
        <v>64.3342</v>
      </c>
      <c r="C11" s="12">
        <v>64.3342</v>
      </c>
      <c r="D11" s="18">
        <f t="shared" si="0"/>
        <v>0</v>
      </c>
      <c r="E11" s="19">
        <v>2.42</v>
      </c>
      <c r="F11" s="52"/>
      <c r="G11" s="12">
        <v>64.3342</v>
      </c>
      <c r="H11" s="12">
        <v>64.3342</v>
      </c>
      <c r="I11" s="18">
        <f t="shared" si="1"/>
        <v>0</v>
      </c>
      <c r="J11" s="19">
        <v>13.34</v>
      </c>
      <c r="K11" s="12"/>
      <c r="L11" s="12">
        <v>64.3342</v>
      </c>
      <c r="M11" s="12">
        <v>64.3342</v>
      </c>
      <c r="N11" s="18">
        <f t="shared" si="2"/>
        <v>0</v>
      </c>
      <c r="O11" s="22">
        <v>6.57</v>
      </c>
      <c r="P11" s="12"/>
      <c r="Q11" s="12">
        <v>64.3342</v>
      </c>
      <c r="R11" s="12">
        <v>64.3342</v>
      </c>
      <c r="S11" s="18">
        <f t="shared" si="3"/>
        <v>0</v>
      </c>
      <c r="T11" s="22">
        <v>3.2</v>
      </c>
      <c r="U11" s="12"/>
      <c r="V11" s="12">
        <v>64.3342</v>
      </c>
      <c r="W11" s="12">
        <v>64.3342</v>
      </c>
      <c r="X11" s="18">
        <f t="shared" si="4"/>
        <v>0</v>
      </c>
      <c r="Y11" s="22">
        <v>4.78</v>
      </c>
      <c r="Z11" s="12"/>
      <c r="AA11" s="12">
        <v>64.3342</v>
      </c>
      <c r="AB11" s="12">
        <v>64.3342</v>
      </c>
      <c r="AC11" s="51">
        <f t="shared" si="5"/>
        <v>0</v>
      </c>
      <c r="AD11" s="22">
        <v>3.31</v>
      </c>
    </row>
    <row r="12" s="2" customFormat="1" spans="1:30">
      <c r="A12" s="2" t="s">
        <v>69</v>
      </c>
      <c r="B12" s="12">
        <v>63.5085</v>
      </c>
      <c r="C12" s="12">
        <v>63.5085</v>
      </c>
      <c r="D12" s="18">
        <f t="shared" si="0"/>
        <v>0</v>
      </c>
      <c r="E12" s="19">
        <v>24.71</v>
      </c>
      <c r="F12" s="52"/>
      <c r="G12" s="12">
        <v>63.5085</v>
      </c>
      <c r="H12" s="12">
        <v>64.3342</v>
      </c>
      <c r="I12" s="18">
        <f t="shared" si="1"/>
        <v>0.0128345421253392</v>
      </c>
      <c r="J12" s="19">
        <v>347.8</v>
      </c>
      <c r="K12" s="12"/>
      <c r="L12" s="12">
        <v>63.5085</v>
      </c>
      <c r="M12" s="12">
        <v>64.3342</v>
      </c>
      <c r="N12" s="18">
        <f t="shared" si="2"/>
        <v>0.0128345421253392</v>
      </c>
      <c r="O12" s="22">
        <v>71.21</v>
      </c>
      <c r="P12" s="12"/>
      <c r="Q12" s="12">
        <v>63.5085</v>
      </c>
      <c r="R12" s="12">
        <v>64.3342</v>
      </c>
      <c r="S12" s="18">
        <f t="shared" si="3"/>
        <v>0.0128345421253392</v>
      </c>
      <c r="T12" s="22">
        <v>52.6</v>
      </c>
      <c r="U12" s="12"/>
      <c r="V12" s="12">
        <v>63.5085</v>
      </c>
      <c r="W12" s="12">
        <v>64.3342</v>
      </c>
      <c r="X12" s="18">
        <f t="shared" si="4"/>
        <v>0.0128345421253392</v>
      </c>
      <c r="Y12" s="22">
        <v>99.4</v>
      </c>
      <c r="Z12" s="12"/>
      <c r="AA12" s="12">
        <v>63.5085</v>
      </c>
      <c r="AB12" s="12">
        <v>64.3342</v>
      </c>
      <c r="AC12" s="51">
        <f t="shared" si="5"/>
        <v>0.0128345421253392</v>
      </c>
      <c r="AD12" s="22">
        <v>57.53</v>
      </c>
    </row>
    <row r="13" s="2" customFormat="1" spans="1:30">
      <c r="A13" s="2" t="s">
        <v>70</v>
      </c>
      <c r="B13" s="12">
        <v>64.3342</v>
      </c>
      <c r="C13" s="12">
        <v>64.3342</v>
      </c>
      <c r="D13" s="18">
        <f t="shared" si="0"/>
        <v>0</v>
      </c>
      <c r="E13" s="19">
        <v>3.4</v>
      </c>
      <c r="F13" s="52"/>
      <c r="G13" s="12">
        <v>64.3342</v>
      </c>
      <c r="H13" s="12">
        <v>64.3342</v>
      </c>
      <c r="I13" s="18">
        <f t="shared" si="1"/>
        <v>0</v>
      </c>
      <c r="J13" s="19">
        <v>13.5</v>
      </c>
      <c r="K13" s="12"/>
      <c r="L13" s="12">
        <v>64.3342</v>
      </c>
      <c r="M13" s="12">
        <v>64.3342</v>
      </c>
      <c r="N13" s="18">
        <f t="shared" si="2"/>
        <v>0</v>
      </c>
      <c r="O13" s="22">
        <v>12.29</v>
      </c>
      <c r="P13" s="12"/>
      <c r="Q13" s="12">
        <v>64.3342</v>
      </c>
      <c r="R13" s="12">
        <v>64.3342</v>
      </c>
      <c r="S13" s="18">
        <f t="shared" si="3"/>
        <v>0</v>
      </c>
      <c r="T13" s="22">
        <v>3.41</v>
      </c>
      <c r="U13" s="12"/>
      <c r="V13" s="12">
        <v>64.3342</v>
      </c>
      <c r="W13" s="12">
        <v>64.3342</v>
      </c>
      <c r="X13" s="18">
        <f t="shared" si="4"/>
        <v>0</v>
      </c>
      <c r="Y13" s="22">
        <v>3.73</v>
      </c>
      <c r="Z13" s="12"/>
      <c r="AA13" s="12">
        <v>64.3342</v>
      </c>
      <c r="AB13" s="12">
        <v>64.3342</v>
      </c>
      <c r="AC13" s="51">
        <f t="shared" si="5"/>
        <v>0</v>
      </c>
      <c r="AD13" s="22">
        <v>3.7</v>
      </c>
    </row>
    <row r="14" s="2" customFormat="1" spans="1:30">
      <c r="A14" s="2" t="s">
        <v>71</v>
      </c>
      <c r="B14" s="12">
        <v>64.3342</v>
      </c>
      <c r="C14" s="12">
        <v>64.3342</v>
      </c>
      <c r="D14" s="18">
        <f t="shared" si="0"/>
        <v>0</v>
      </c>
      <c r="E14" s="19">
        <v>17.14</v>
      </c>
      <c r="F14" s="52"/>
      <c r="G14" s="12">
        <v>64.3342</v>
      </c>
      <c r="H14" s="12">
        <v>64.3342</v>
      </c>
      <c r="I14" s="18">
        <f t="shared" si="1"/>
        <v>0</v>
      </c>
      <c r="J14" s="19">
        <v>51.75</v>
      </c>
      <c r="K14" s="12"/>
      <c r="L14" s="12">
        <v>64.3342</v>
      </c>
      <c r="M14" s="12">
        <v>64.3342</v>
      </c>
      <c r="N14" s="18">
        <f t="shared" si="2"/>
        <v>0</v>
      </c>
      <c r="O14" s="22">
        <v>25.84</v>
      </c>
      <c r="P14" s="12"/>
      <c r="Q14" s="12">
        <v>64.3342</v>
      </c>
      <c r="R14" s="12">
        <v>64.3342</v>
      </c>
      <c r="S14" s="18">
        <f t="shared" si="3"/>
        <v>0</v>
      </c>
      <c r="T14" s="22">
        <v>17.5</v>
      </c>
      <c r="U14" s="12"/>
      <c r="V14" s="12">
        <v>64.3342</v>
      </c>
      <c r="W14" s="12">
        <v>64.3342</v>
      </c>
      <c r="X14" s="18">
        <f t="shared" si="4"/>
        <v>0</v>
      </c>
      <c r="Y14" s="22">
        <v>21.39</v>
      </c>
      <c r="Z14" s="12"/>
      <c r="AA14" s="12">
        <v>64.3342</v>
      </c>
      <c r="AB14" s="12">
        <v>64.3342</v>
      </c>
      <c r="AC14" s="51">
        <f t="shared" si="5"/>
        <v>0</v>
      </c>
      <c r="AD14" s="22">
        <v>18.49</v>
      </c>
    </row>
    <row r="15" s="2" customFormat="1" spans="1:30">
      <c r="A15" s="2" t="s">
        <v>23</v>
      </c>
      <c r="B15" s="16">
        <f>AVERAGE(B3:B14)</f>
        <v>63.9580166666667</v>
      </c>
      <c r="C15" s="16">
        <f t="shared" ref="C15:AD15" si="6">AVERAGE(C3:C14)</f>
        <v>63.9580166666667</v>
      </c>
      <c r="D15" s="16">
        <f t="shared" si="6"/>
        <v>0</v>
      </c>
      <c r="E15" s="16">
        <f t="shared" si="6"/>
        <v>7.10166666666667</v>
      </c>
      <c r="F15" s="16" t="e">
        <f t="shared" si="6"/>
        <v>#DIV/0!</v>
      </c>
      <c r="G15" s="16">
        <f t="shared" si="6"/>
        <v>63.9580166666667</v>
      </c>
      <c r="H15" s="16">
        <f t="shared" si="6"/>
        <v>64.1252333333333</v>
      </c>
      <c r="I15" s="16">
        <f t="shared" si="6"/>
        <v>0.00260257743686953</v>
      </c>
      <c r="J15" s="16">
        <f t="shared" si="6"/>
        <v>200.391666666667</v>
      </c>
      <c r="K15" s="16" t="e">
        <f t="shared" si="6"/>
        <v>#DIV/0!</v>
      </c>
      <c r="L15" s="16">
        <f t="shared" si="6"/>
        <v>63.9580166666667</v>
      </c>
      <c r="M15" s="16">
        <f t="shared" si="6"/>
        <v>64.1252333333333</v>
      </c>
      <c r="N15" s="16">
        <f t="shared" si="6"/>
        <v>0.00260257743686953</v>
      </c>
      <c r="O15" s="16">
        <f t="shared" si="6"/>
        <v>44.4375</v>
      </c>
      <c r="P15" s="16" t="e">
        <f t="shared" si="6"/>
        <v>#DIV/0!</v>
      </c>
      <c r="Q15" s="16">
        <f t="shared" si="6"/>
        <v>63.9580166666667</v>
      </c>
      <c r="R15" s="16">
        <f t="shared" si="6"/>
        <v>64.1252333333333</v>
      </c>
      <c r="S15" s="16">
        <f t="shared" si="6"/>
        <v>0.00260257743686953</v>
      </c>
      <c r="T15" s="16">
        <f t="shared" si="6"/>
        <v>9.865</v>
      </c>
      <c r="U15" s="16" t="e">
        <f t="shared" si="6"/>
        <v>#DIV/0!</v>
      </c>
      <c r="V15" s="16">
        <f t="shared" si="6"/>
        <v>63.9580166666667</v>
      </c>
      <c r="W15" s="16">
        <f t="shared" si="6"/>
        <v>64.1252333333333</v>
      </c>
      <c r="X15" s="16">
        <f t="shared" si="6"/>
        <v>0.00260257743686953</v>
      </c>
      <c r="Y15" s="16">
        <f t="shared" si="6"/>
        <v>36.245</v>
      </c>
      <c r="Z15" s="16" t="e">
        <f t="shared" si="6"/>
        <v>#DIV/0!</v>
      </c>
      <c r="AA15" s="16">
        <f t="shared" si="6"/>
        <v>63.9580166666667</v>
      </c>
      <c r="AB15" s="16">
        <f t="shared" si="6"/>
        <v>64.1252333333333</v>
      </c>
      <c r="AC15" s="16">
        <f t="shared" si="6"/>
        <v>0.00260257743686953</v>
      </c>
      <c r="AD15" s="16">
        <f t="shared" si="6"/>
        <v>12.9225</v>
      </c>
    </row>
    <row r="16" s="2" customFormat="1" spans="1:30">
      <c r="B16" s="16">
        <f>AVERAGE(B15,B58)</f>
        <v>49.9696958333333</v>
      </c>
      <c r="C16" s="16">
        <f t="shared" ref="C16:AD16" si="7">AVERAGE(C15,C58)</f>
        <v>49.9696958333333</v>
      </c>
      <c r="D16" s="16">
        <f t="shared" si="7"/>
        <v>0</v>
      </c>
      <c r="E16" s="16">
        <f t="shared" si="7"/>
        <v>259.004166666667</v>
      </c>
      <c r="F16" s="16" t="e">
        <f t="shared" si="7"/>
        <v>#DIV/0!</v>
      </c>
      <c r="G16" s="16">
        <f t="shared" si="7"/>
        <v>49.9696958333333</v>
      </c>
      <c r="H16" s="16">
        <f t="shared" si="7"/>
        <v>50.1875375</v>
      </c>
      <c r="I16" s="16">
        <f t="shared" si="7"/>
        <v>0.00493126226701112</v>
      </c>
      <c r="J16" s="16">
        <f t="shared" si="7"/>
        <v>814.406249999998</v>
      </c>
      <c r="K16" s="16" t="e">
        <f t="shared" si="7"/>
        <v>#DIV/0!</v>
      </c>
      <c r="L16" s="16">
        <f t="shared" si="7"/>
        <v>49.9696958333333</v>
      </c>
      <c r="M16" s="16">
        <f t="shared" si="7"/>
        <v>50.0533041666667</v>
      </c>
      <c r="N16" s="16">
        <f t="shared" si="7"/>
        <v>0.00130128871843476</v>
      </c>
      <c r="O16" s="16">
        <f t="shared" si="7"/>
        <v>570.1975</v>
      </c>
      <c r="P16" s="16" t="e">
        <f t="shared" si="7"/>
        <v>#DIV/0!</v>
      </c>
      <c r="Q16" s="16">
        <f t="shared" si="7"/>
        <v>49.9696958333333</v>
      </c>
      <c r="R16" s="16">
        <f t="shared" si="7"/>
        <v>50.0533041666667</v>
      </c>
      <c r="S16" s="16">
        <f t="shared" si="7"/>
        <v>0.00130128871843476</v>
      </c>
      <c r="T16" s="16">
        <f t="shared" si="7"/>
        <v>342.770416666667</v>
      </c>
      <c r="U16" s="16" t="e">
        <f t="shared" si="7"/>
        <v>#DIV/0!</v>
      </c>
      <c r="V16" s="16">
        <f t="shared" si="7"/>
        <v>49.9696958333333</v>
      </c>
      <c r="W16" s="16">
        <f t="shared" si="7"/>
        <v>50.0533041666667</v>
      </c>
      <c r="X16" s="16">
        <f t="shared" si="7"/>
        <v>0.00130128871843476</v>
      </c>
      <c r="Y16" s="16">
        <f t="shared" si="7"/>
        <v>458.797083333333</v>
      </c>
      <c r="Z16" s="16" t="e">
        <f t="shared" si="7"/>
        <v>#DIV/0!</v>
      </c>
      <c r="AA16" s="16">
        <f t="shared" si="7"/>
        <v>49.9696958333333</v>
      </c>
      <c r="AB16" s="16">
        <f t="shared" si="7"/>
        <v>50.0533041666667</v>
      </c>
      <c r="AC16" s="16">
        <f t="shared" si="7"/>
        <v>0.00130128871843476</v>
      </c>
      <c r="AD16" s="16">
        <f t="shared" si="7"/>
        <v>384.285833333334</v>
      </c>
    </row>
    <row r="17" s="2" customFormat="1" spans="1:30">
      <c r="A17" s="2" t="s">
        <v>72</v>
      </c>
      <c r="B17" s="12">
        <v>64.6985</v>
      </c>
      <c r="C17" s="12">
        <v>64.6985</v>
      </c>
      <c r="D17" s="18">
        <f>(C17-B17)/C17</f>
        <v>0</v>
      </c>
      <c r="E17" s="22">
        <v>41.72</v>
      </c>
      <c r="F17" s="53"/>
      <c r="G17" s="12">
        <v>64.6985</v>
      </c>
      <c r="H17" s="12">
        <v>66.4799</v>
      </c>
      <c r="I17" s="18">
        <f>(H17-G17)/H17</f>
        <v>0.0267960691878298</v>
      </c>
      <c r="J17" s="19">
        <v>456.87</v>
      </c>
      <c r="K17" s="12"/>
      <c r="L17" s="12">
        <v>64.6985</v>
      </c>
      <c r="M17" s="12">
        <v>64.6985</v>
      </c>
      <c r="N17" s="18">
        <f t="shared" si="2"/>
        <v>0</v>
      </c>
      <c r="O17" s="54">
        <v>204.49</v>
      </c>
      <c r="P17" s="12"/>
      <c r="Q17" s="12">
        <v>64.6985</v>
      </c>
      <c r="R17" s="12">
        <v>64.6985</v>
      </c>
      <c r="S17" s="18">
        <f t="shared" si="3"/>
        <v>0</v>
      </c>
      <c r="T17" s="54">
        <v>130.91</v>
      </c>
      <c r="U17" s="12"/>
      <c r="V17" s="12">
        <v>64.6985</v>
      </c>
      <c r="W17" s="12">
        <v>64.6985</v>
      </c>
      <c r="X17" s="18">
        <f t="shared" si="4"/>
        <v>0</v>
      </c>
      <c r="Y17" s="22">
        <v>175.56</v>
      </c>
      <c r="AA17" s="12">
        <v>64.6985</v>
      </c>
      <c r="AB17" s="12">
        <v>64.6985</v>
      </c>
      <c r="AC17" s="51">
        <f t="shared" si="5"/>
        <v>0</v>
      </c>
      <c r="AD17" s="22">
        <v>168.94</v>
      </c>
    </row>
    <row r="18" s="2" customFormat="1" spans="1:30">
      <c r="A18" s="2" t="s">
        <v>73</v>
      </c>
      <c r="B18" s="12">
        <v>66.1784</v>
      </c>
      <c r="C18" s="12">
        <v>66.1784</v>
      </c>
      <c r="D18" s="18">
        <f t="shared" ref="D18:D57" si="8">(C18-B18)/C18</f>
        <v>0</v>
      </c>
      <c r="E18" s="22">
        <v>18.85</v>
      </c>
      <c r="F18" s="53"/>
      <c r="G18" s="12">
        <v>66.1784</v>
      </c>
      <c r="H18" s="12">
        <v>66.4799</v>
      </c>
      <c r="I18" s="18">
        <f t="shared" ref="I18:I28" si="9">(H18-G18)/H18</f>
        <v>0.00453520537786616</v>
      </c>
      <c r="J18" s="19">
        <v>149.02</v>
      </c>
      <c r="K18" s="12"/>
      <c r="L18" s="12">
        <v>66.1784</v>
      </c>
      <c r="M18" s="12">
        <v>66.1784</v>
      </c>
      <c r="N18" s="18">
        <f t="shared" si="2"/>
        <v>0</v>
      </c>
      <c r="O18" s="54">
        <v>61.27</v>
      </c>
      <c r="P18" s="12"/>
      <c r="Q18" s="12">
        <v>66.1784</v>
      </c>
      <c r="R18" s="12">
        <v>66.1784</v>
      </c>
      <c r="S18" s="18">
        <f t="shared" si="3"/>
        <v>0</v>
      </c>
      <c r="T18" s="54">
        <v>40.41</v>
      </c>
      <c r="U18" s="12"/>
      <c r="V18" s="12">
        <v>66.1784</v>
      </c>
      <c r="W18" s="12">
        <v>66.1784</v>
      </c>
      <c r="X18" s="18">
        <f t="shared" si="4"/>
        <v>0</v>
      </c>
      <c r="Y18" s="22">
        <v>52.84</v>
      </c>
      <c r="AA18" s="12">
        <v>66.1784</v>
      </c>
      <c r="AB18" s="12">
        <v>66.1784</v>
      </c>
      <c r="AC18" s="51">
        <f t="shared" si="5"/>
        <v>0</v>
      </c>
      <c r="AD18" s="22">
        <v>48.62</v>
      </c>
    </row>
    <row r="19" s="2" customFormat="1" spans="1:30">
      <c r="A19" s="2" t="s">
        <v>74</v>
      </c>
      <c r="B19" s="12">
        <v>66.1784</v>
      </c>
      <c r="C19" s="12">
        <v>66.1784</v>
      </c>
      <c r="D19" s="18">
        <f t="shared" si="8"/>
        <v>0</v>
      </c>
      <c r="E19" s="22">
        <v>7.05</v>
      </c>
      <c r="F19" s="53"/>
      <c r="G19" s="12">
        <v>66.1784</v>
      </c>
      <c r="H19" s="12">
        <v>66.4799</v>
      </c>
      <c r="I19" s="18">
        <f t="shared" si="9"/>
        <v>0.00453520537786616</v>
      </c>
      <c r="J19" s="19">
        <v>101.36</v>
      </c>
      <c r="K19" s="12"/>
      <c r="L19" s="12">
        <v>66.1784</v>
      </c>
      <c r="M19" s="12">
        <v>66.1784</v>
      </c>
      <c r="N19" s="18">
        <f t="shared" si="2"/>
        <v>0</v>
      </c>
      <c r="O19" s="54">
        <v>34.4</v>
      </c>
      <c r="P19" s="12"/>
      <c r="Q19" s="12">
        <v>66.1784</v>
      </c>
      <c r="R19" s="12">
        <v>66.1784</v>
      </c>
      <c r="S19" s="18">
        <f t="shared" si="3"/>
        <v>0</v>
      </c>
      <c r="T19" s="54">
        <v>17.55</v>
      </c>
      <c r="U19" s="12"/>
      <c r="V19" s="12">
        <v>66.1784</v>
      </c>
      <c r="W19" s="12">
        <v>66.1784</v>
      </c>
      <c r="X19" s="18">
        <f t="shared" si="4"/>
        <v>0</v>
      </c>
      <c r="Y19" s="22">
        <v>2.2</v>
      </c>
      <c r="AA19" s="12">
        <v>66.1784</v>
      </c>
      <c r="AB19" s="12">
        <v>66.1784</v>
      </c>
      <c r="AC19" s="51">
        <f t="shared" si="5"/>
        <v>0</v>
      </c>
      <c r="AD19" s="22">
        <v>6.09</v>
      </c>
    </row>
    <row r="20" s="2" customFormat="1" spans="1:30">
      <c r="A20" s="2" t="s">
        <v>75</v>
      </c>
      <c r="B20" s="12">
        <v>65.5494</v>
      </c>
      <c r="C20" s="12">
        <v>65.5494</v>
      </c>
      <c r="D20" s="18">
        <f t="shared" si="8"/>
        <v>0</v>
      </c>
      <c r="E20" s="22">
        <v>75.61</v>
      </c>
      <c r="F20" s="53"/>
      <c r="G20" s="12">
        <v>65.5494</v>
      </c>
      <c r="H20" s="12">
        <v>66.4799</v>
      </c>
      <c r="I20" s="18">
        <f t="shared" si="9"/>
        <v>0.0139967117880742</v>
      </c>
      <c r="J20" s="19">
        <v>556.41</v>
      </c>
      <c r="K20" s="12"/>
      <c r="L20" s="12">
        <v>65.5494</v>
      </c>
      <c r="M20" s="12">
        <v>65.5494</v>
      </c>
      <c r="N20" s="18">
        <f t="shared" si="2"/>
        <v>0</v>
      </c>
      <c r="O20" s="54">
        <v>186.66</v>
      </c>
      <c r="P20" s="12"/>
      <c r="Q20" s="12">
        <v>65.5494</v>
      </c>
      <c r="R20" s="12">
        <v>65.5494</v>
      </c>
      <c r="S20" s="18">
        <f t="shared" si="3"/>
        <v>0</v>
      </c>
      <c r="T20" s="54">
        <v>55.36</v>
      </c>
      <c r="U20" s="12"/>
      <c r="V20" s="12">
        <v>65.5494</v>
      </c>
      <c r="W20" s="12">
        <v>65.5494</v>
      </c>
      <c r="X20" s="18">
        <f t="shared" si="4"/>
        <v>0</v>
      </c>
      <c r="Y20" s="22">
        <v>68.5</v>
      </c>
      <c r="AA20" s="12">
        <v>65.5494</v>
      </c>
      <c r="AB20" s="12">
        <v>65.5494</v>
      </c>
      <c r="AC20" s="51">
        <f t="shared" si="5"/>
        <v>0</v>
      </c>
      <c r="AD20" s="22">
        <v>64.54</v>
      </c>
    </row>
    <row r="21" s="2" customFormat="1" spans="1:30">
      <c r="A21" s="2" t="s">
        <v>76</v>
      </c>
      <c r="B21" s="12">
        <v>66.3679</v>
      </c>
      <c r="C21" s="12">
        <v>66.3679</v>
      </c>
      <c r="D21" s="18">
        <f t="shared" si="8"/>
        <v>0</v>
      </c>
      <c r="E21" s="22">
        <v>15.01</v>
      </c>
      <c r="F21" s="53"/>
      <c r="G21" s="12">
        <v>66.3679</v>
      </c>
      <c r="H21" s="12">
        <v>66.4799</v>
      </c>
      <c r="I21" s="18">
        <f t="shared" si="9"/>
        <v>0.00168471974235814</v>
      </c>
      <c r="J21" s="19">
        <v>94.32</v>
      </c>
      <c r="K21" s="12"/>
      <c r="L21" s="12">
        <v>66.3679</v>
      </c>
      <c r="M21" s="12">
        <v>66.3679</v>
      </c>
      <c r="N21" s="18">
        <f t="shared" si="2"/>
        <v>0</v>
      </c>
      <c r="O21" s="54">
        <v>23.22</v>
      </c>
      <c r="P21" s="12"/>
      <c r="Q21" s="12">
        <v>66.3679</v>
      </c>
      <c r="R21" s="12">
        <v>66.3679</v>
      </c>
      <c r="S21" s="18">
        <f t="shared" si="3"/>
        <v>0</v>
      </c>
      <c r="T21" s="54">
        <v>15.19</v>
      </c>
      <c r="U21" s="12"/>
      <c r="V21" s="12">
        <v>66.3679</v>
      </c>
      <c r="W21" s="12">
        <v>66.3679</v>
      </c>
      <c r="X21" s="18">
        <f t="shared" si="4"/>
        <v>0</v>
      </c>
      <c r="Y21" s="22">
        <v>13.33</v>
      </c>
      <c r="AA21" s="12">
        <v>66.3679</v>
      </c>
      <c r="AB21" s="12">
        <v>66.3679</v>
      </c>
      <c r="AC21" s="51">
        <f t="shared" si="5"/>
        <v>0</v>
      </c>
      <c r="AD21" s="22">
        <v>13.6</v>
      </c>
    </row>
    <row r="22" s="2" customFormat="1" spans="1:30">
      <c r="A22" s="2" t="s">
        <v>77</v>
      </c>
      <c r="B22" s="12">
        <v>66.3679</v>
      </c>
      <c r="C22" s="12">
        <v>66.3679</v>
      </c>
      <c r="D22" s="18">
        <f t="shared" si="8"/>
        <v>0</v>
      </c>
      <c r="E22" s="22">
        <v>19.43</v>
      </c>
      <c r="F22" s="53"/>
      <c r="G22" s="12">
        <v>66.3679</v>
      </c>
      <c r="H22" s="12">
        <v>66.4799</v>
      </c>
      <c r="I22" s="18">
        <f t="shared" si="9"/>
        <v>0.00168471974235814</v>
      </c>
      <c r="J22" s="19">
        <v>198.03</v>
      </c>
      <c r="K22" s="12"/>
      <c r="L22" s="12">
        <v>66.3679</v>
      </c>
      <c r="M22" s="12">
        <v>66.3679</v>
      </c>
      <c r="N22" s="18">
        <f t="shared" si="2"/>
        <v>0</v>
      </c>
      <c r="O22" s="54">
        <v>88.92</v>
      </c>
      <c r="P22" s="12"/>
      <c r="Q22" s="12">
        <v>66.3679</v>
      </c>
      <c r="R22" s="12">
        <v>66.3679</v>
      </c>
      <c r="S22" s="18">
        <f t="shared" si="3"/>
        <v>0</v>
      </c>
      <c r="T22" s="54">
        <v>61.68</v>
      </c>
      <c r="U22" s="12"/>
      <c r="V22" s="12">
        <v>66.3679</v>
      </c>
      <c r="W22" s="12">
        <v>66.3679</v>
      </c>
      <c r="X22" s="18">
        <f t="shared" si="4"/>
        <v>0</v>
      </c>
      <c r="Y22" s="22">
        <v>62.12</v>
      </c>
      <c r="AA22" s="12">
        <v>66.3679</v>
      </c>
      <c r="AB22" s="12">
        <v>66.3679</v>
      </c>
      <c r="AC22" s="51">
        <f t="shared" si="5"/>
        <v>0</v>
      </c>
      <c r="AD22" s="22">
        <v>62.01</v>
      </c>
    </row>
    <row r="23" s="2" customFormat="1" spans="1:30">
      <c r="A23" s="2" t="s">
        <v>78</v>
      </c>
      <c r="B23" s="12">
        <v>65.5494</v>
      </c>
      <c r="C23" s="12">
        <v>65.5494</v>
      </c>
      <c r="D23" s="18">
        <f t="shared" si="8"/>
        <v>0</v>
      </c>
      <c r="E23" s="22">
        <v>4.01</v>
      </c>
      <c r="F23" s="53"/>
      <c r="G23" s="12">
        <v>65.5494</v>
      </c>
      <c r="H23" s="12">
        <v>66.4799</v>
      </c>
      <c r="I23" s="18">
        <f t="shared" si="9"/>
        <v>0.0139967117880742</v>
      </c>
      <c r="J23" s="19">
        <v>71.43</v>
      </c>
      <c r="K23" s="12"/>
      <c r="L23" s="12">
        <v>65.5494</v>
      </c>
      <c r="M23" s="12">
        <v>65.5494</v>
      </c>
      <c r="N23" s="18">
        <f t="shared" si="2"/>
        <v>0</v>
      </c>
      <c r="O23" s="54">
        <v>29.59</v>
      </c>
      <c r="P23" s="12"/>
      <c r="Q23" s="12">
        <v>65.5494</v>
      </c>
      <c r="R23" s="12">
        <v>65.5494</v>
      </c>
      <c r="S23" s="18">
        <f t="shared" si="3"/>
        <v>0</v>
      </c>
      <c r="T23" s="54">
        <v>8.6</v>
      </c>
      <c r="U23" s="12"/>
      <c r="V23" s="12">
        <v>65.5494</v>
      </c>
      <c r="W23" s="12">
        <v>65.5494</v>
      </c>
      <c r="X23" s="18">
        <f t="shared" si="4"/>
        <v>0</v>
      </c>
      <c r="Y23" s="22">
        <v>11.85</v>
      </c>
      <c r="AA23" s="12">
        <v>65.5494</v>
      </c>
      <c r="AB23" s="12">
        <v>65.5494</v>
      </c>
      <c r="AC23" s="51">
        <f t="shared" si="5"/>
        <v>0</v>
      </c>
      <c r="AD23" s="22">
        <v>10.93</v>
      </c>
    </row>
    <row r="24" s="2" customFormat="1" spans="1:30">
      <c r="A24" s="2" t="s">
        <v>79</v>
      </c>
      <c r="B24" s="12">
        <v>66.3679</v>
      </c>
      <c r="C24" s="12">
        <v>66.3679</v>
      </c>
      <c r="D24" s="18">
        <f t="shared" si="8"/>
        <v>0</v>
      </c>
      <c r="E24" s="22">
        <v>2.65</v>
      </c>
      <c r="F24" s="53"/>
      <c r="G24" s="12">
        <v>66.3679</v>
      </c>
      <c r="H24" s="12">
        <v>66.4799</v>
      </c>
      <c r="I24" s="18">
        <f t="shared" si="9"/>
        <v>0.00168471974235814</v>
      </c>
      <c r="J24" s="19">
        <v>26.08</v>
      </c>
      <c r="K24" s="12"/>
      <c r="L24" s="12">
        <v>66.3679</v>
      </c>
      <c r="M24" s="12">
        <v>66.3679</v>
      </c>
      <c r="N24" s="18">
        <f t="shared" si="2"/>
        <v>0</v>
      </c>
      <c r="O24" s="54">
        <v>8.47</v>
      </c>
      <c r="P24" s="12"/>
      <c r="Q24" s="12">
        <v>66.3679</v>
      </c>
      <c r="R24" s="12">
        <v>66.3679</v>
      </c>
      <c r="S24" s="18">
        <f t="shared" si="3"/>
        <v>0</v>
      </c>
      <c r="T24" s="54">
        <v>6.99</v>
      </c>
      <c r="U24" s="12"/>
      <c r="V24" s="12">
        <v>66.3679</v>
      </c>
      <c r="W24" s="12">
        <v>66.3679</v>
      </c>
      <c r="X24" s="18">
        <f t="shared" si="4"/>
        <v>0</v>
      </c>
      <c r="Y24" s="22">
        <v>8.21</v>
      </c>
      <c r="AA24" s="12">
        <v>66.3679</v>
      </c>
      <c r="AB24" s="12">
        <v>66.3679</v>
      </c>
      <c r="AC24" s="51">
        <f t="shared" si="5"/>
        <v>0</v>
      </c>
      <c r="AD24" s="22">
        <v>8.13</v>
      </c>
    </row>
    <row r="25" s="2" customFormat="1" spans="1:30">
      <c r="A25" s="2" t="s">
        <v>80</v>
      </c>
      <c r="B25" s="12">
        <v>66.3679</v>
      </c>
      <c r="C25" s="12">
        <v>66.3679</v>
      </c>
      <c r="D25" s="18">
        <f t="shared" si="8"/>
        <v>0</v>
      </c>
      <c r="E25" s="22">
        <v>2.32</v>
      </c>
      <c r="F25" s="53"/>
      <c r="G25" s="12">
        <v>66.3679</v>
      </c>
      <c r="H25" s="12">
        <v>66.4799</v>
      </c>
      <c r="I25" s="18">
        <f t="shared" si="9"/>
        <v>0.00168471974235814</v>
      </c>
      <c r="J25" s="19">
        <v>14.24</v>
      </c>
      <c r="K25" s="12"/>
      <c r="L25" s="12">
        <v>66.3679</v>
      </c>
      <c r="M25" s="12">
        <v>66.3679</v>
      </c>
      <c r="N25" s="18">
        <f t="shared" si="2"/>
        <v>0</v>
      </c>
      <c r="O25" s="54">
        <v>2.95</v>
      </c>
      <c r="P25" s="12"/>
      <c r="Q25" s="12">
        <v>66.3679</v>
      </c>
      <c r="R25" s="12">
        <v>66.3679</v>
      </c>
      <c r="S25" s="18">
        <f t="shared" si="3"/>
        <v>0</v>
      </c>
      <c r="T25" s="54">
        <v>2.12</v>
      </c>
      <c r="U25" s="12"/>
      <c r="V25" s="12">
        <v>66.3679</v>
      </c>
      <c r="W25" s="12">
        <v>66.3679</v>
      </c>
      <c r="X25" s="18">
        <f t="shared" si="4"/>
        <v>0</v>
      </c>
      <c r="Y25" s="22">
        <v>11.5</v>
      </c>
      <c r="AA25" s="12">
        <v>66.3679</v>
      </c>
      <c r="AB25" s="12">
        <v>66.3679</v>
      </c>
      <c r="AC25" s="51">
        <f t="shared" si="5"/>
        <v>0</v>
      </c>
      <c r="AD25" s="22">
        <v>10.04</v>
      </c>
    </row>
    <row r="26" s="2" customFormat="1" spans="1:30">
      <c r="A26" s="2" t="s">
        <v>81</v>
      </c>
      <c r="B26" s="12">
        <v>65.5494</v>
      </c>
      <c r="C26" s="12">
        <v>65.5494</v>
      </c>
      <c r="D26" s="18">
        <f t="shared" si="8"/>
        <v>0</v>
      </c>
      <c r="E26" s="22">
        <v>118.38</v>
      </c>
      <c r="F26" s="53"/>
      <c r="G26" s="12">
        <v>65.5494</v>
      </c>
      <c r="H26" s="12">
        <v>66.4799</v>
      </c>
      <c r="I26" s="18">
        <f t="shared" si="9"/>
        <v>0.0139967117880742</v>
      </c>
      <c r="J26" s="19">
        <v>700.2</v>
      </c>
      <c r="K26" s="12"/>
      <c r="L26" s="12">
        <v>65.5494</v>
      </c>
      <c r="M26" s="12">
        <v>65.5494</v>
      </c>
      <c r="N26" s="18">
        <f t="shared" si="2"/>
        <v>0</v>
      </c>
      <c r="O26" s="54">
        <v>343.3</v>
      </c>
      <c r="P26" s="12"/>
      <c r="Q26" s="12">
        <v>65.5494</v>
      </c>
      <c r="R26" s="12">
        <v>65.5494</v>
      </c>
      <c r="S26" s="18">
        <f t="shared" si="3"/>
        <v>0</v>
      </c>
      <c r="T26" s="54">
        <v>116.43</v>
      </c>
      <c r="U26" s="12"/>
      <c r="V26" s="12">
        <v>65.5494</v>
      </c>
      <c r="W26" s="12">
        <v>65.5494</v>
      </c>
      <c r="X26" s="18">
        <f t="shared" si="4"/>
        <v>0</v>
      </c>
      <c r="Y26" s="22">
        <v>158.43</v>
      </c>
      <c r="AA26" s="12">
        <v>65.5494</v>
      </c>
      <c r="AB26" s="12">
        <v>65.5494</v>
      </c>
      <c r="AC26" s="51">
        <f t="shared" si="5"/>
        <v>0</v>
      </c>
      <c r="AD26" s="22">
        <v>157.22</v>
      </c>
    </row>
    <row r="27" s="2" customFormat="1" spans="1:30">
      <c r="A27" s="2" t="s">
        <v>82</v>
      </c>
      <c r="B27" s="12">
        <v>66.3679</v>
      </c>
      <c r="C27" s="12">
        <v>66.3679</v>
      </c>
      <c r="D27" s="18">
        <f t="shared" si="8"/>
        <v>0</v>
      </c>
      <c r="E27" s="22">
        <v>3.01</v>
      </c>
      <c r="F27" s="53"/>
      <c r="G27" s="12">
        <v>66.3679</v>
      </c>
      <c r="H27" s="12">
        <v>66.4799</v>
      </c>
      <c r="I27" s="18">
        <f t="shared" si="9"/>
        <v>0.00168471974235814</v>
      </c>
      <c r="J27" s="19">
        <v>10.54</v>
      </c>
      <c r="K27" s="12"/>
      <c r="L27" s="12">
        <v>66.3679</v>
      </c>
      <c r="M27" s="12">
        <v>66.3679</v>
      </c>
      <c r="N27" s="18">
        <f t="shared" si="2"/>
        <v>0</v>
      </c>
      <c r="O27" s="54">
        <v>4.17</v>
      </c>
      <c r="P27" s="12"/>
      <c r="Q27" s="12">
        <v>66.3679</v>
      </c>
      <c r="R27" s="12">
        <v>66.3679</v>
      </c>
      <c r="S27" s="18">
        <f t="shared" si="3"/>
        <v>0</v>
      </c>
      <c r="T27" s="54">
        <v>3.99</v>
      </c>
      <c r="U27" s="12"/>
      <c r="V27" s="12">
        <v>66.3679</v>
      </c>
      <c r="W27" s="12">
        <v>66.3679</v>
      </c>
      <c r="X27" s="18">
        <f t="shared" si="4"/>
        <v>0</v>
      </c>
      <c r="Y27" s="22">
        <v>4.91</v>
      </c>
      <c r="AA27" s="12">
        <v>66.3679</v>
      </c>
      <c r="AB27" s="12">
        <v>66.3679</v>
      </c>
      <c r="AC27" s="51">
        <f t="shared" si="5"/>
        <v>0</v>
      </c>
      <c r="AD27" s="22">
        <v>4.62</v>
      </c>
    </row>
    <row r="28" s="2" customFormat="1" spans="1:30">
      <c r="A28" s="2" t="s">
        <v>83</v>
      </c>
      <c r="B28" s="12">
        <v>66.3679</v>
      </c>
      <c r="C28" s="12">
        <v>66.3679</v>
      </c>
      <c r="D28" s="18">
        <f t="shared" si="8"/>
        <v>0</v>
      </c>
      <c r="E28" s="22">
        <v>1.04</v>
      </c>
      <c r="F28" s="53"/>
      <c r="G28" s="12">
        <v>66.3679</v>
      </c>
      <c r="H28" s="12">
        <v>66.4799</v>
      </c>
      <c r="I28" s="18">
        <f t="shared" si="9"/>
        <v>0.00168471974235814</v>
      </c>
      <c r="J28" s="19">
        <v>5.09</v>
      </c>
      <c r="K28" s="12"/>
      <c r="L28" s="12">
        <v>66.3679</v>
      </c>
      <c r="M28" s="12">
        <v>66.3679</v>
      </c>
      <c r="N28" s="18">
        <f t="shared" si="2"/>
        <v>0</v>
      </c>
      <c r="O28" s="54">
        <v>1.63</v>
      </c>
      <c r="P28" s="12"/>
      <c r="Q28" s="12">
        <v>66.3679</v>
      </c>
      <c r="R28" s="12">
        <v>66.3679</v>
      </c>
      <c r="S28" s="18">
        <f t="shared" si="3"/>
        <v>0</v>
      </c>
      <c r="T28" s="54">
        <v>0.91</v>
      </c>
      <c r="U28" s="12"/>
      <c r="V28" s="12">
        <v>66.3679</v>
      </c>
      <c r="W28" s="12">
        <v>66.3679</v>
      </c>
      <c r="X28" s="18">
        <f t="shared" si="4"/>
        <v>0</v>
      </c>
      <c r="Y28" s="22">
        <v>1.08</v>
      </c>
      <c r="AA28" s="12">
        <v>66.3679</v>
      </c>
      <c r="AB28" s="12">
        <v>66.3679</v>
      </c>
      <c r="AC28" s="51">
        <f t="shared" si="5"/>
        <v>0</v>
      </c>
      <c r="AD28" s="22">
        <v>1.03</v>
      </c>
    </row>
    <row r="29" s="2" customFormat="1" spans="1:30">
      <c r="A29" s="2" t="s">
        <v>23</v>
      </c>
      <c r="B29" s="12">
        <f>AVERAGE(B17:B28)</f>
        <v>65.992575</v>
      </c>
      <c r="C29" s="12">
        <f t="shared" ref="C29:AD29" si="10">AVERAGE(C17:C28)</f>
        <v>65.992575</v>
      </c>
      <c r="D29" s="12">
        <f t="shared" si="10"/>
        <v>0</v>
      </c>
      <c r="E29" s="12">
        <f t="shared" si="10"/>
        <v>25.7566666666667</v>
      </c>
      <c r="F29" s="12" t="e">
        <f t="shared" si="10"/>
        <v>#DIV/0!</v>
      </c>
      <c r="G29" s="12">
        <f t="shared" si="10"/>
        <v>65.992575</v>
      </c>
      <c r="H29" s="12">
        <f t="shared" si="10"/>
        <v>66.4799</v>
      </c>
      <c r="I29" s="12">
        <f t="shared" si="10"/>
        <v>0.00733041114682779</v>
      </c>
      <c r="J29" s="12">
        <f t="shared" si="10"/>
        <v>198.6325</v>
      </c>
      <c r="K29" s="12" t="e">
        <f t="shared" si="10"/>
        <v>#DIV/0!</v>
      </c>
      <c r="L29" s="12">
        <f t="shared" si="10"/>
        <v>65.992575</v>
      </c>
      <c r="M29" s="12">
        <f t="shared" si="10"/>
        <v>65.992575</v>
      </c>
      <c r="N29" s="12">
        <f t="shared" si="10"/>
        <v>0</v>
      </c>
      <c r="O29" s="12">
        <f t="shared" si="10"/>
        <v>82.4225</v>
      </c>
      <c r="P29" s="12" t="e">
        <f t="shared" si="10"/>
        <v>#DIV/0!</v>
      </c>
      <c r="Q29" s="12">
        <f t="shared" si="10"/>
        <v>65.992575</v>
      </c>
      <c r="R29" s="12">
        <f t="shared" si="10"/>
        <v>65.992575</v>
      </c>
      <c r="S29" s="12">
        <f t="shared" si="10"/>
        <v>0</v>
      </c>
      <c r="T29" s="12">
        <f t="shared" si="10"/>
        <v>38.345</v>
      </c>
      <c r="U29" s="12" t="e">
        <f t="shared" si="10"/>
        <v>#DIV/0!</v>
      </c>
      <c r="V29" s="12">
        <f t="shared" si="10"/>
        <v>65.992575</v>
      </c>
      <c r="W29" s="12">
        <f t="shared" si="10"/>
        <v>65.992575</v>
      </c>
      <c r="X29" s="12">
        <f t="shared" si="10"/>
        <v>0</v>
      </c>
      <c r="Y29" s="12">
        <f t="shared" si="10"/>
        <v>47.5441666666667</v>
      </c>
      <c r="Z29" s="12" t="e">
        <f t="shared" si="10"/>
        <v>#DIV/0!</v>
      </c>
      <c r="AA29" s="12">
        <f t="shared" si="10"/>
        <v>65.992575</v>
      </c>
      <c r="AB29" s="12">
        <f t="shared" si="10"/>
        <v>65.992575</v>
      </c>
      <c r="AC29" s="12">
        <f t="shared" si="10"/>
        <v>0</v>
      </c>
      <c r="AD29" s="12">
        <f t="shared" si="10"/>
        <v>46.3141666666667</v>
      </c>
    </row>
    <row r="30" spans="1:30">
      <c r="D30" s="18"/>
      <c r="I30" s="18"/>
      <c r="N30" s="18"/>
      <c r="S30" s="18"/>
      <c r="X30" s="18"/>
      <c r="Y30" s="22"/>
    </row>
    <row r="31" s="2" customFormat="1" spans="1:30">
      <c r="A31" s="9" t="s">
        <v>84</v>
      </c>
      <c r="B31" s="2">
        <v>39.0918</v>
      </c>
      <c r="C31" s="2">
        <v>39.0918</v>
      </c>
      <c r="D31" s="18">
        <f t="shared" si="8"/>
        <v>0</v>
      </c>
      <c r="E31" s="22">
        <v>355.22</v>
      </c>
      <c r="F31" s="2"/>
      <c r="G31" s="2">
        <v>39.0918</v>
      </c>
      <c r="H31" s="2">
        <v>39.0918</v>
      </c>
      <c r="I31" s="18">
        <f t="shared" ref="I29:I57" si="11">(H31-G31)/H31</f>
        <v>0</v>
      </c>
      <c r="J31" s="2">
        <v>646.94</v>
      </c>
      <c r="L31" s="2">
        <v>39.0918</v>
      </c>
      <c r="M31" s="2">
        <v>39.0918</v>
      </c>
      <c r="N31" s="18">
        <f t="shared" si="2"/>
        <v>0</v>
      </c>
      <c r="O31" s="22">
        <v>436.76</v>
      </c>
      <c r="P31" s="2"/>
      <c r="Q31" s="2">
        <v>39.0918</v>
      </c>
      <c r="R31" s="2">
        <v>39.0918</v>
      </c>
      <c r="S31" s="18">
        <f t="shared" si="3"/>
        <v>0</v>
      </c>
      <c r="T31" s="22">
        <v>388.05</v>
      </c>
      <c r="V31" s="2">
        <v>39.0918</v>
      </c>
      <c r="W31" s="2">
        <v>39.0918</v>
      </c>
      <c r="X31" s="18">
        <f t="shared" si="4"/>
        <v>0</v>
      </c>
      <c r="Y31" s="22">
        <v>398.26</v>
      </c>
      <c r="AA31" s="2">
        <v>39.0918</v>
      </c>
      <c r="AB31" s="2">
        <v>39.0918</v>
      </c>
      <c r="AC31" s="51">
        <f t="shared" si="5"/>
        <v>0</v>
      </c>
      <c r="AD31" s="22">
        <v>398.15</v>
      </c>
    </row>
    <row r="32" s="2" customFormat="1" spans="1:30">
      <c r="A32" s="13" t="s">
        <v>85</v>
      </c>
      <c r="B32" s="2">
        <v>40.5225</v>
      </c>
      <c r="C32" s="2">
        <v>40.5225</v>
      </c>
      <c r="D32" s="18">
        <f t="shared" si="8"/>
        <v>0</v>
      </c>
      <c r="E32" s="22">
        <v>75.88</v>
      </c>
      <c r="F32" s="2"/>
      <c r="G32" s="2">
        <v>40.5225</v>
      </c>
      <c r="H32" s="2">
        <v>40.5225</v>
      </c>
      <c r="I32" s="18">
        <f t="shared" si="11"/>
        <v>0</v>
      </c>
      <c r="J32" s="2">
        <v>166.08</v>
      </c>
      <c r="L32" s="2">
        <v>40.5225</v>
      </c>
      <c r="M32" s="2">
        <v>40.5225</v>
      </c>
      <c r="N32" s="18">
        <f t="shared" si="2"/>
        <v>0</v>
      </c>
      <c r="O32" s="22">
        <v>88.55</v>
      </c>
      <c r="P32" s="2"/>
      <c r="Q32" s="2">
        <v>40.5225</v>
      </c>
      <c r="R32" s="2">
        <v>40.5225</v>
      </c>
      <c r="S32" s="18">
        <f t="shared" si="3"/>
        <v>0</v>
      </c>
      <c r="T32" s="22">
        <v>79.77</v>
      </c>
      <c r="V32" s="2">
        <v>40.5225</v>
      </c>
      <c r="W32" s="2">
        <v>40.5225</v>
      </c>
      <c r="X32" s="18">
        <f t="shared" si="4"/>
        <v>0</v>
      </c>
      <c r="Y32" s="22">
        <v>85.26</v>
      </c>
      <c r="AA32" s="2">
        <v>40.5225</v>
      </c>
      <c r="AB32" s="2">
        <v>40.5225</v>
      </c>
      <c r="AC32" s="51">
        <f t="shared" si="5"/>
        <v>0</v>
      </c>
      <c r="AD32" s="22">
        <v>80.88</v>
      </c>
    </row>
    <row r="33" s="2" customFormat="1" spans="1:30">
      <c r="A33" s="9" t="s">
        <v>86</v>
      </c>
      <c r="B33" s="2">
        <v>40.5225</v>
      </c>
      <c r="C33" s="2">
        <v>40.5225</v>
      </c>
      <c r="D33" s="18">
        <f t="shared" si="8"/>
        <v>0</v>
      </c>
      <c r="E33" s="22">
        <v>16.68</v>
      </c>
      <c r="F33" s="2"/>
      <c r="G33" s="2">
        <v>40.5225</v>
      </c>
      <c r="H33" s="2">
        <v>40.5225</v>
      </c>
      <c r="I33" s="18">
        <f t="shared" si="11"/>
        <v>0</v>
      </c>
      <c r="J33" s="2">
        <v>146.14</v>
      </c>
      <c r="L33" s="2">
        <v>40.5225</v>
      </c>
      <c r="M33" s="2">
        <v>40.5225</v>
      </c>
      <c r="N33" s="18">
        <f t="shared" si="2"/>
        <v>0</v>
      </c>
      <c r="O33" s="22">
        <v>72.26</v>
      </c>
      <c r="P33" s="2"/>
      <c r="Q33" s="2">
        <v>40.5225</v>
      </c>
      <c r="R33" s="2">
        <v>40.5225</v>
      </c>
      <c r="S33" s="18">
        <f t="shared" si="3"/>
        <v>0</v>
      </c>
      <c r="T33" s="22">
        <v>29.93</v>
      </c>
      <c r="V33" s="2">
        <v>40.5225</v>
      </c>
      <c r="W33" s="2">
        <v>40.5225</v>
      </c>
      <c r="X33" s="18">
        <f t="shared" si="4"/>
        <v>0</v>
      </c>
      <c r="Y33" s="22">
        <v>44.12</v>
      </c>
      <c r="AA33" s="2">
        <v>40.5225</v>
      </c>
      <c r="AB33" s="2">
        <v>40.5225</v>
      </c>
      <c r="AC33" s="51">
        <f t="shared" si="5"/>
        <v>0</v>
      </c>
      <c r="AD33" s="22">
        <v>33.01</v>
      </c>
    </row>
    <row r="34" s="2" customFormat="1" spans="1:30">
      <c r="A34" s="13" t="s">
        <v>87</v>
      </c>
      <c r="B34" s="2">
        <v>40.5225</v>
      </c>
      <c r="C34" s="2">
        <v>40.5225</v>
      </c>
      <c r="D34" s="18">
        <f t="shared" si="8"/>
        <v>0</v>
      </c>
      <c r="E34" s="22">
        <v>174.43</v>
      </c>
      <c r="F34" s="2"/>
      <c r="G34" s="2">
        <v>40.1084</v>
      </c>
      <c r="H34" s="2">
        <v>40.1084</v>
      </c>
      <c r="I34" s="18">
        <f t="shared" si="11"/>
        <v>0</v>
      </c>
      <c r="J34" s="2">
        <v>788.99</v>
      </c>
      <c r="L34" s="2">
        <v>40.1084</v>
      </c>
      <c r="M34" s="2">
        <v>40.1084</v>
      </c>
      <c r="N34" s="18">
        <f t="shared" si="2"/>
        <v>0</v>
      </c>
      <c r="O34" s="22">
        <v>230.56</v>
      </c>
      <c r="P34" s="2"/>
      <c r="Q34" s="2">
        <v>40.1084</v>
      </c>
      <c r="R34" s="2">
        <v>40.1084</v>
      </c>
      <c r="S34" s="18">
        <f t="shared" si="3"/>
        <v>0</v>
      </c>
      <c r="T34" s="22">
        <v>181.18</v>
      </c>
      <c r="V34" s="2">
        <v>40.1084</v>
      </c>
      <c r="W34" s="2">
        <v>40.1084</v>
      </c>
      <c r="X34" s="18">
        <f t="shared" si="4"/>
        <v>0</v>
      </c>
      <c r="Y34" s="22">
        <v>186.83</v>
      </c>
      <c r="AA34" s="2">
        <v>40.1084</v>
      </c>
      <c r="AB34" s="2">
        <v>40.1084</v>
      </c>
      <c r="AC34" s="51">
        <f t="shared" si="5"/>
        <v>0</v>
      </c>
      <c r="AD34" s="22">
        <v>185.02</v>
      </c>
    </row>
    <row r="35" s="2" customFormat="1" spans="1:30">
      <c r="A35" s="13" t="s">
        <v>88</v>
      </c>
      <c r="B35" s="2">
        <v>40.9095</v>
      </c>
      <c r="C35" s="2">
        <v>40.9095</v>
      </c>
      <c r="D35" s="18">
        <f t="shared" si="8"/>
        <v>0</v>
      </c>
      <c r="E35" s="22">
        <v>58.19</v>
      </c>
      <c r="F35" s="2"/>
      <c r="G35" s="2">
        <v>40.9095</v>
      </c>
      <c r="H35" s="2">
        <v>40.9095</v>
      </c>
      <c r="I35" s="18">
        <f t="shared" si="11"/>
        <v>0</v>
      </c>
      <c r="J35" s="2">
        <v>205.41</v>
      </c>
      <c r="L35" s="2">
        <v>40.9095</v>
      </c>
      <c r="M35" s="2">
        <v>40.9095</v>
      </c>
      <c r="N35" s="18">
        <f t="shared" si="2"/>
        <v>0</v>
      </c>
      <c r="O35" s="22">
        <v>122.14</v>
      </c>
      <c r="P35" s="2"/>
      <c r="Q35" s="2">
        <v>40.9095</v>
      </c>
      <c r="R35" s="2">
        <v>40.9095</v>
      </c>
      <c r="S35" s="18">
        <f t="shared" si="3"/>
        <v>0</v>
      </c>
      <c r="T35" s="22">
        <v>85.29</v>
      </c>
      <c r="V35" s="2">
        <v>40.9095</v>
      </c>
      <c r="W35" s="2">
        <v>40.9095</v>
      </c>
      <c r="X35" s="18">
        <f t="shared" si="4"/>
        <v>0</v>
      </c>
      <c r="Y35" s="22">
        <v>106.93</v>
      </c>
      <c r="AA35" s="2">
        <v>40.9095</v>
      </c>
      <c r="AB35" s="2">
        <v>40.9095</v>
      </c>
      <c r="AC35" s="51">
        <f t="shared" si="5"/>
        <v>0</v>
      </c>
      <c r="AD35" s="22">
        <v>96.7</v>
      </c>
    </row>
    <row r="36" s="2" customFormat="1" spans="1:30">
      <c r="A36" s="13" t="s">
        <v>89</v>
      </c>
      <c r="B36" s="2">
        <v>40.9095</v>
      </c>
      <c r="C36" s="2">
        <v>40.9095</v>
      </c>
      <c r="D36" s="18">
        <f t="shared" si="8"/>
        <v>0</v>
      </c>
      <c r="E36" s="22">
        <v>47.25</v>
      </c>
      <c r="F36" s="2"/>
      <c r="G36" s="2">
        <v>40.9095</v>
      </c>
      <c r="H36" s="2">
        <v>40.9095</v>
      </c>
      <c r="I36" s="18">
        <f t="shared" si="11"/>
        <v>0</v>
      </c>
      <c r="J36" s="2">
        <v>183.93</v>
      </c>
      <c r="L36" s="2">
        <v>40.9095</v>
      </c>
      <c r="M36" s="2">
        <v>40.9095</v>
      </c>
      <c r="N36" s="18">
        <f t="shared" ref="N36:N57" si="12">(M36-L36)/M36</f>
        <v>0</v>
      </c>
      <c r="O36" s="22">
        <v>118.65</v>
      </c>
      <c r="P36" s="2"/>
      <c r="Q36" s="2">
        <v>40.9095</v>
      </c>
      <c r="R36" s="2">
        <v>40.9095</v>
      </c>
      <c r="S36" s="18">
        <f t="shared" ref="S36:S57" si="13">(R36-Q36)/R36</f>
        <v>0</v>
      </c>
      <c r="T36" s="22">
        <v>94.17</v>
      </c>
      <c r="V36" s="2">
        <v>40.9095</v>
      </c>
      <c r="W36" s="2">
        <v>40.9095</v>
      </c>
      <c r="X36" s="18">
        <f t="shared" ref="X36:X57" si="14">(W36-V36)/W36</f>
        <v>0</v>
      </c>
      <c r="Y36" s="22">
        <v>107.27</v>
      </c>
      <c r="AA36" s="2">
        <v>40.9095</v>
      </c>
      <c r="AB36" s="2">
        <v>40.9095</v>
      </c>
      <c r="AC36" s="51">
        <f t="shared" ref="AC36:AC57" si="15">(AB36-AA36)/AB36</f>
        <v>0</v>
      </c>
      <c r="AD36" s="22">
        <v>109.24</v>
      </c>
    </row>
    <row r="37" s="2" customFormat="1" spans="1:30">
      <c r="A37" s="9" t="s">
        <v>90</v>
      </c>
      <c r="B37" s="2">
        <v>40.9095</v>
      </c>
      <c r="C37" s="2">
        <v>40.9095</v>
      </c>
      <c r="D37" s="18">
        <f t="shared" si="8"/>
        <v>0</v>
      </c>
      <c r="E37" s="22">
        <v>588.81</v>
      </c>
      <c r="F37" s="2"/>
      <c r="G37" s="2">
        <v>40.9095</v>
      </c>
      <c r="H37" s="2">
        <v>40.9095</v>
      </c>
      <c r="I37" s="18">
        <f t="shared" si="11"/>
        <v>0</v>
      </c>
      <c r="J37" s="2">
        <v>1083.45</v>
      </c>
      <c r="L37" s="2">
        <v>40.9095</v>
      </c>
      <c r="M37" s="2">
        <v>40.9095</v>
      </c>
      <c r="N37" s="18">
        <f t="shared" si="12"/>
        <v>0</v>
      </c>
      <c r="O37" s="22">
        <v>672.13</v>
      </c>
      <c r="P37" s="2"/>
      <c r="Q37" s="2">
        <v>40.9095</v>
      </c>
      <c r="R37" s="2">
        <v>40.9095</v>
      </c>
      <c r="S37" s="18">
        <f t="shared" si="13"/>
        <v>0</v>
      </c>
      <c r="T37" s="22">
        <v>623.78</v>
      </c>
      <c r="V37" s="2">
        <v>40.9095</v>
      </c>
      <c r="W37" s="2">
        <v>40.9095</v>
      </c>
      <c r="X37" s="18">
        <f t="shared" si="14"/>
        <v>0</v>
      </c>
      <c r="Y37" s="22">
        <v>661.25</v>
      </c>
      <c r="AA37" s="2">
        <v>40.9095</v>
      </c>
      <c r="AB37" s="2">
        <v>40.9095</v>
      </c>
      <c r="AC37" s="51">
        <f t="shared" si="15"/>
        <v>0</v>
      </c>
      <c r="AD37" s="22">
        <v>639.38</v>
      </c>
    </row>
    <row r="38" s="2" customFormat="1" spans="1:30">
      <c r="A38" s="9" t="s">
        <v>91</v>
      </c>
      <c r="B38" s="2">
        <v>40.9095</v>
      </c>
      <c r="C38" s="2">
        <v>40.9095</v>
      </c>
      <c r="D38" s="18">
        <f t="shared" si="8"/>
        <v>0</v>
      </c>
      <c r="E38" s="22">
        <v>857.01</v>
      </c>
      <c r="F38" s="2"/>
      <c r="G38" s="2">
        <v>40.9095</v>
      </c>
      <c r="H38" s="2">
        <v>40.9095</v>
      </c>
      <c r="I38" s="18">
        <f t="shared" si="11"/>
        <v>0</v>
      </c>
      <c r="J38" s="2">
        <v>2104.67</v>
      </c>
      <c r="L38" s="2">
        <v>40.9095</v>
      </c>
      <c r="M38" s="2">
        <v>40.9095</v>
      </c>
      <c r="N38" s="18">
        <f t="shared" si="12"/>
        <v>0</v>
      </c>
      <c r="O38" s="22">
        <v>994.63</v>
      </c>
      <c r="P38" s="2"/>
      <c r="Q38" s="2">
        <v>40.9095</v>
      </c>
      <c r="R38" s="2">
        <v>40.9095</v>
      </c>
      <c r="S38" s="18">
        <f t="shared" si="13"/>
        <v>0</v>
      </c>
      <c r="T38" s="22">
        <v>909.49</v>
      </c>
      <c r="V38" s="2">
        <v>40.9095</v>
      </c>
      <c r="W38" s="2">
        <v>40.9095</v>
      </c>
      <c r="X38" s="18">
        <f t="shared" si="14"/>
        <v>0</v>
      </c>
      <c r="Y38" s="22">
        <v>969.38</v>
      </c>
      <c r="AA38" s="2">
        <v>40.9095</v>
      </c>
      <c r="AB38" s="2">
        <v>40.9095</v>
      </c>
      <c r="AC38" s="51">
        <f t="shared" si="15"/>
        <v>0</v>
      </c>
      <c r="AD38" s="22">
        <v>913.49</v>
      </c>
    </row>
    <row r="39" s="2" customFormat="1" spans="1:30">
      <c r="A39" s="9" t="s">
        <v>92</v>
      </c>
      <c r="B39" s="2">
        <v>40.9095</v>
      </c>
      <c r="C39" s="2">
        <v>40.9095</v>
      </c>
      <c r="D39" s="18">
        <f t="shared" si="8"/>
        <v>0</v>
      </c>
      <c r="E39" s="22">
        <v>461.59</v>
      </c>
      <c r="F39" s="2"/>
      <c r="G39" s="2">
        <v>40.9095</v>
      </c>
      <c r="H39" s="2">
        <v>40.9095</v>
      </c>
      <c r="I39" s="18">
        <f t="shared" si="11"/>
        <v>0</v>
      </c>
      <c r="J39" s="2">
        <v>1095.55</v>
      </c>
      <c r="L39" s="2">
        <v>40.9095</v>
      </c>
      <c r="M39" s="2">
        <v>40.9095</v>
      </c>
      <c r="N39" s="18">
        <f t="shared" si="12"/>
        <v>0</v>
      </c>
      <c r="O39" s="22">
        <v>756.09</v>
      </c>
      <c r="P39" s="2"/>
      <c r="Q39" s="2">
        <v>40.9095</v>
      </c>
      <c r="R39" s="2">
        <v>40.9095</v>
      </c>
      <c r="S39" s="18">
        <f t="shared" si="13"/>
        <v>0</v>
      </c>
      <c r="T39" s="22">
        <v>591.16</v>
      </c>
      <c r="V39" s="2">
        <v>40.9095</v>
      </c>
      <c r="W39" s="2">
        <v>40.9095</v>
      </c>
      <c r="X39" s="18">
        <f t="shared" si="14"/>
        <v>0</v>
      </c>
      <c r="Y39" s="22">
        <v>695.46</v>
      </c>
      <c r="AA39" s="2">
        <v>40.9095</v>
      </c>
      <c r="AB39" s="2">
        <v>40.9095</v>
      </c>
      <c r="AC39" s="51">
        <f t="shared" si="15"/>
        <v>0</v>
      </c>
      <c r="AD39" s="22">
        <v>599.77</v>
      </c>
    </row>
    <row r="40" s="2" customFormat="1" spans="1:30">
      <c r="A40" s="9" t="s">
        <v>93</v>
      </c>
      <c r="B40" s="2">
        <v>40.9095</v>
      </c>
      <c r="C40" s="2">
        <v>40.9095</v>
      </c>
      <c r="D40" s="18">
        <f t="shared" si="8"/>
        <v>0</v>
      </c>
      <c r="E40" s="22">
        <v>359.72</v>
      </c>
      <c r="F40" s="2"/>
      <c r="G40" s="2">
        <v>40.9095</v>
      </c>
      <c r="H40" s="2">
        <v>40.9095</v>
      </c>
      <c r="I40" s="18">
        <f t="shared" si="11"/>
        <v>0</v>
      </c>
      <c r="J40" s="2">
        <v>1011.28</v>
      </c>
      <c r="L40" s="2">
        <v>40.9095</v>
      </c>
      <c r="M40" s="2">
        <v>40.9095</v>
      </c>
      <c r="N40" s="18">
        <f t="shared" si="12"/>
        <v>0</v>
      </c>
      <c r="O40" s="22">
        <v>839.07</v>
      </c>
      <c r="P40" s="2"/>
      <c r="Q40" s="2">
        <v>40.9095</v>
      </c>
      <c r="R40" s="2">
        <v>40.9095</v>
      </c>
      <c r="S40" s="18">
        <f t="shared" si="13"/>
        <v>0</v>
      </c>
      <c r="T40" s="22">
        <v>502.87</v>
      </c>
      <c r="V40" s="2">
        <v>40.9095</v>
      </c>
      <c r="W40" s="2">
        <v>40.9095</v>
      </c>
      <c r="X40" s="18">
        <f t="shared" si="14"/>
        <v>0</v>
      </c>
      <c r="Y40" s="22">
        <v>531.59</v>
      </c>
      <c r="AA40" s="2">
        <v>40.9095</v>
      </c>
      <c r="AB40" s="2">
        <v>40.9095</v>
      </c>
      <c r="AC40" s="51">
        <f t="shared" si="15"/>
        <v>0</v>
      </c>
      <c r="AD40" s="22">
        <v>596.99</v>
      </c>
    </row>
    <row r="41" s="2" customFormat="1" spans="1:30">
      <c r="A41" s="9" t="s">
        <v>94</v>
      </c>
      <c r="B41" s="2">
        <v>40.9095</v>
      </c>
      <c r="C41" s="2">
        <v>40.9095</v>
      </c>
      <c r="D41" s="18">
        <f t="shared" si="8"/>
        <v>0</v>
      </c>
      <c r="E41" s="22">
        <v>382.85</v>
      </c>
      <c r="F41" s="2"/>
      <c r="G41" s="2">
        <v>40.9095</v>
      </c>
      <c r="H41" s="2">
        <v>40.9095</v>
      </c>
      <c r="I41" s="18">
        <f t="shared" si="11"/>
        <v>0</v>
      </c>
      <c r="J41" s="2">
        <v>2311.09</v>
      </c>
      <c r="L41" s="2">
        <v>40.9095</v>
      </c>
      <c r="M41" s="2">
        <v>40.9095</v>
      </c>
      <c r="N41" s="18">
        <f t="shared" si="12"/>
        <v>0</v>
      </c>
      <c r="O41" s="22">
        <v>1616.91</v>
      </c>
      <c r="P41" s="2"/>
      <c r="Q41" s="2">
        <v>40.9095</v>
      </c>
      <c r="R41" s="2">
        <v>40.9095</v>
      </c>
      <c r="S41" s="18">
        <f t="shared" si="13"/>
        <v>0</v>
      </c>
      <c r="T41" s="22">
        <v>671.24</v>
      </c>
      <c r="V41" s="2">
        <v>40.9095</v>
      </c>
      <c r="W41" s="2">
        <v>40.9095</v>
      </c>
      <c r="X41" s="18">
        <f t="shared" si="14"/>
        <v>0</v>
      </c>
      <c r="Y41" s="22">
        <v>1090.68</v>
      </c>
      <c r="AA41" s="2">
        <v>40.9095</v>
      </c>
      <c r="AB41" s="2">
        <v>40.9095</v>
      </c>
      <c r="AC41" s="51">
        <f t="shared" si="15"/>
        <v>0</v>
      </c>
      <c r="AD41" s="22">
        <v>764.1</v>
      </c>
    </row>
    <row r="42" s="2" customFormat="1" spans="1:30">
      <c r="A42" s="9" t="s">
        <v>95</v>
      </c>
      <c r="B42" s="2">
        <v>40.9095</v>
      </c>
      <c r="C42" s="2">
        <v>40.9095</v>
      </c>
      <c r="D42" s="18">
        <f t="shared" si="8"/>
        <v>0</v>
      </c>
      <c r="E42" s="22">
        <v>909.31</v>
      </c>
      <c r="F42" s="2"/>
      <c r="G42" s="2">
        <v>40.9095</v>
      </c>
      <c r="H42" s="2">
        <v>40.9095</v>
      </c>
      <c r="I42" s="18">
        <f t="shared" si="11"/>
        <v>0</v>
      </c>
      <c r="J42" s="2">
        <v>2127.05</v>
      </c>
      <c r="L42" s="2">
        <v>40.9095</v>
      </c>
      <c r="M42" s="2">
        <v>40.9095</v>
      </c>
      <c r="N42" s="18">
        <f t="shared" si="12"/>
        <v>0</v>
      </c>
      <c r="O42" s="22">
        <v>1228.83</v>
      </c>
      <c r="P42" s="2"/>
      <c r="Q42" s="2">
        <v>40.9095</v>
      </c>
      <c r="R42" s="2">
        <v>40.9095</v>
      </c>
      <c r="S42" s="18">
        <f t="shared" si="13"/>
        <v>0</v>
      </c>
      <c r="T42" s="22">
        <v>939.16</v>
      </c>
      <c r="V42" s="2">
        <v>40.9095</v>
      </c>
      <c r="W42" s="2">
        <v>40.9095</v>
      </c>
      <c r="X42" s="18">
        <f t="shared" si="14"/>
        <v>0</v>
      </c>
      <c r="Y42" s="22">
        <v>942.24</v>
      </c>
      <c r="AA42" s="2">
        <v>40.9095</v>
      </c>
      <c r="AB42" s="2">
        <v>40.9095</v>
      </c>
      <c r="AC42" s="51">
        <f t="shared" si="15"/>
        <v>0</v>
      </c>
      <c r="AD42" s="22">
        <v>966.81</v>
      </c>
    </row>
    <row r="43" s="2" customFormat="1" spans="1:30">
      <c r="A43" s="9" t="s">
        <v>23</v>
      </c>
      <c r="B43" s="2">
        <f>AVERAGE(B31:B42)</f>
        <v>40.661275</v>
      </c>
      <c r="C43" s="2">
        <f t="shared" ref="C43:AD43" si="16">AVERAGE(C31:C42)</f>
        <v>40.661275</v>
      </c>
      <c r="D43" s="2">
        <f t="shared" si="16"/>
        <v>0</v>
      </c>
      <c r="E43" s="2">
        <f t="shared" si="16"/>
        <v>357.245</v>
      </c>
      <c r="F43" s="2" t="e">
        <f t="shared" si="16"/>
        <v>#DIV/0!</v>
      </c>
      <c r="G43" s="2">
        <f t="shared" si="16"/>
        <v>40.6267666666667</v>
      </c>
      <c r="H43" s="2">
        <f t="shared" si="16"/>
        <v>40.6267666666667</v>
      </c>
      <c r="I43" s="2">
        <f t="shared" si="16"/>
        <v>0</v>
      </c>
      <c r="J43" s="2">
        <f t="shared" si="16"/>
        <v>989.215</v>
      </c>
      <c r="K43" s="2" t="e">
        <f t="shared" si="16"/>
        <v>#DIV/0!</v>
      </c>
      <c r="L43" s="2">
        <f t="shared" si="16"/>
        <v>40.6267666666667</v>
      </c>
      <c r="M43" s="2">
        <f t="shared" si="16"/>
        <v>40.6267666666667</v>
      </c>
      <c r="N43" s="2">
        <f t="shared" si="16"/>
        <v>0</v>
      </c>
      <c r="O43" s="2">
        <f t="shared" si="16"/>
        <v>598.048333333333</v>
      </c>
      <c r="P43" s="2" t="e">
        <f t="shared" si="16"/>
        <v>#DIV/0!</v>
      </c>
      <c r="Q43" s="2">
        <f t="shared" si="16"/>
        <v>40.6267666666667</v>
      </c>
      <c r="R43" s="2">
        <f t="shared" si="16"/>
        <v>40.6267666666667</v>
      </c>
      <c r="S43" s="2">
        <f t="shared" si="16"/>
        <v>0</v>
      </c>
      <c r="T43" s="2">
        <f t="shared" si="16"/>
        <v>424.674166666667</v>
      </c>
      <c r="U43" s="2" t="e">
        <f t="shared" si="16"/>
        <v>#DIV/0!</v>
      </c>
      <c r="V43" s="2">
        <f t="shared" si="16"/>
        <v>40.6267666666667</v>
      </c>
      <c r="W43" s="2">
        <f t="shared" si="16"/>
        <v>40.6267666666667</v>
      </c>
      <c r="X43" s="2">
        <f t="shared" si="16"/>
        <v>0</v>
      </c>
      <c r="Y43" s="2">
        <f t="shared" si="16"/>
        <v>484.939166666667</v>
      </c>
      <c r="Z43" s="2" t="e">
        <f t="shared" si="16"/>
        <v>#DIV/0!</v>
      </c>
      <c r="AA43" s="2">
        <f t="shared" si="16"/>
        <v>40.6267666666667</v>
      </c>
      <c r="AB43" s="2">
        <f t="shared" si="16"/>
        <v>40.6267666666667</v>
      </c>
      <c r="AC43" s="2">
        <f t="shared" si="16"/>
        <v>0</v>
      </c>
      <c r="AD43" s="2">
        <f t="shared" si="16"/>
        <v>448.628333333333</v>
      </c>
    </row>
    <row r="44" spans="1:30">
      <c r="B44" s="2">
        <f>AVERAGE(B29,B43)</f>
        <v>53.326925</v>
      </c>
      <c r="C44" s="2">
        <f t="shared" ref="C44:AD44" si="17">AVERAGE(C29,C43)</f>
        <v>53.326925</v>
      </c>
      <c r="D44" s="2">
        <f t="shared" si="17"/>
        <v>0</v>
      </c>
      <c r="E44" s="2">
        <f t="shared" si="17"/>
        <v>191.500833333333</v>
      </c>
      <c r="F44" s="2" t="e">
        <f t="shared" si="17"/>
        <v>#DIV/0!</v>
      </c>
      <c r="G44" s="2">
        <f t="shared" si="17"/>
        <v>53.3096708333333</v>
      </c>
      <c r="H44" s="2">
        <f t="shared" si="17"/>
        <v>53.5533333333333</v>
      </c>
      <c r="I44" s="2">
        <f t="shared" si="17"/>
        <v>0.0036652055734139</v>
      </c>
      <c r="J44" s="2">
        <f t="shared" si="17"/>
        <v>593.92375</v>
      </c>
      <c r="K44" s="2" t="e">
        <f t="shared" si="17"/>
        <v>#DIV/0!</v>
      </c>
      <c r="L44" s="2">
        <f t="shared" si="17"/>
        <v>53.3096708333333</v>
      </c>
      <c r="M44" s="2">
        <f t="shared" si="17"/>
        <v>53.3096708333333</v>
      </c>
      <c r="N44" s="2">
        <f t="shared" si="17"/>
        <v>0</v>
      </c>
      <c r="O44" s="2">
        <f t="shared" si="17"/>
        <v>340.235416666667</v>
      </c>
      <c r="P44" s="2" t="e">
        <f t="shared" si="17"/>
        <v>#DIV/0!</v>
      </c>
      <c r="Q44" s="2">
        <f t="shared" si="17"/>
        <v>53.3096708333333</v>
      </c>
      <c r="R44" s="2">
        <f t="shared" si="17"/>
        <v>53.3096708333333</v>
      </c>
      <c r="S44" s="2">
        <f t="shared" si="17"/>
        <v>0</v>
      </c>
      <c r="T44" s="2">
        <f t="shared" si="17"/>
        <v>231.509583333333</v>
      </c>
      <c r="U44" s="2" t="e">
        <f t="shared" si="17"/>
        <v>#DIV/0!</v>
      </c>
      <c r="V44" s="2">
        <f t="shared" si="17"/>
        <v>53.3096708333333</v>
      </c>
      <c r="W44" s="2">
        <f t="shared" si="17"/>
        <v>53.3096708333333</v>
      </c>
      <c r="X44" s="2">
        <f t="shared" si="17"/>
        <v>0</v>
      </c>
      <c r="Y44" s="2">
        <f t="shared" si="17"/>
        <v>266.241666666667</v>
      </c>
      <c r="Z44" s="2" t="e">
        <f t="shared" si="17"/>
        <v>#DIV/0!</v>
      </c>
      <c r="AA44" s="2">
        <f t="shared" si="17"/>
        <v>53.3096708333333</v>
      </c>
      <c r="AB44" s="2">
        <f t="shared" si="17"/>
        <v>53.3096708333333</v>
      </c>
      <c r="AC44" s="2">
        <f t="shared" si="17"/>
        <v>0</v>
      </c>
      <c r="AD44" s="2">
        <f t="shared" si="17"/>
        <v>247.47125</v>
      </c>
    </row>
    <row r="45" spans="1:30">
      <c r="D45" s="18"/>
      <c r="E45" s="19"/>
      <c r="I45" s="18"/>
      <c r="N45" s="18"/>
      <c r="S45" s="18"/>
      <c r="X45" s="18"/>
      <c r="Y45" s="22"/>
      <c r="AD45" s="22"/>
    </row>
    <row r="46" spans="1:30">
      <c r="A46" s="2" t="s">
        <v>96</v>
      </c>
      <c r="B46" s="2">
        <v>33.4964</v>
      </c>
      <c r="C46" s="2">
        <v>33.4964</v>
      </c>
      <c r="D46" s="18">
        <f t="shared" si="8"/>
        <v>0</v>
      </c>
      <c r="E46" s="22">
        <v>119.4</v>
      </c>
      <c r="F46" s="19"/>
      <c r="G46" s="2">
        <v>33.4964</v>
      </c>
      <c r="H46" s="2">
        <v>33.4964</v>
      </c>
      <c r="I46" s="18">
        <f t="shared" si="11"/>
        <v>0</v>
      </c>
      <c r="J46" s="2">
        <v>217.3</v>
      </c>
      <c r="L46" s="2">
        <v>33.4964</v>
      </c>
      <c r="M46" s="2">
        <v>33.4964</v>
      </c>
      <c r="N46" s="18">
        <f t="shared" si="12"/>
        <v>0</v>
      </c>
      <c r="O46" s="22">
        <v>176.03</v>
      </c>
      <c r="Q46" s="2">
        <v>33.4964</v>
      </c>
      <c r="R46" s="2">
        <v>33.4964</v>
      </c>
      <c r="S46" s="18">
        <f t="shared" si="13"/>
        <v>0</v>
      </c>
      <c r="T46" s="22">
        <v>142.02</v>
      </c>
      <c r="V46" s="2">
        <v>33.4964</v>
      </c>
      <c r="W46" s="2">
        <v>33.4964</v>
      </c>
      <c r="X46" s="18">
        <f t="shared" si="14"/>
        <v>0</v>
      </c>
      <c r="Y46" s="22">
        <v>172.13</v>
      </c>
      <c r="AA46" s="2">
        <v>33.4964</v>
      </c>
      <c r="AB46" s="2">
        <v>33.4964</v>
      </c>
      <c r="AC46" s="51">
        <f t="shared" si="15"/>
        <v>0</v>
      </c>
      <c r="AD46" s="22">
        <v>144.63</v>
      </c>
    </row>
    <row r="47" spans="1:30">
      <c r="A47" s="2" t="s">
        <v>97</v>
      </c>
      <c r="B47" s="2">
        <v>35.9259</v>
      </c>
      <c r="C47" s="2">
        <v>35.9259</v>
      </c>
      <c r="D47" s="18">
        <f t="shared" si="8"/>
        <v>0</v>
      </c>
      <c r="E47" s="22">
        <v>14.64</v>
      </c>
      <c r="F47" s="19"/>
      <c r="G47" s="2">
        <v>35.9259</v>
      </c>
      <c r="H47" s="2">
        <v>35.9259</v>
      </c>
      <c r="I47" s="18">
        <f t="shared" si="11"/>
        <v>0</v>
      </c>
      <c r="J47" s="2">
        <v>35.64</v>
      </c>
      <c r="L47" s="2">
        <v>35.9259</v>
      </c>
      <c r="M47" s="2">
        <v>35.9259</v>
      </c>
      <c r="N47" s="18">
        <f t="shared" si="12"/>
        <v>0</v>
      </c>
      <c r="O47" s="22">
        <v>25.98</v>
      </c>
      <c r="Q47" s="2">
        <v>35.9259</v>
      </c>
      <c r="R47" s="2">
        <v>35.9259</v>
      </c>
      <c r="S47" s="18">
        <f t="shared" si="13"/>
        <v>0</v>
      </c>
      <c r="T47" s="22">
        <v>15.85</v>
      </c>
      <c r="V47" s="2">
        <v>35.9259</v>
      </c>
      <c r="W47" s="2">
        <v>35.9259</v>
      </c>
      <c r="X47" s="18">
        <f t="shared" si="14"/>
        <v>0</v>
      </c>
      <c r="Y47" s="22">
        <v>20.02</v>
      </c>
      <c r="AA47" s="2">
        <v>35.9259</v>
      </c>
      <c r="AB47" s="2">
        <v>35.9259</v>
      </c>
      <c r="AC47" s="51">
        <f t="shared" si="15"/>
        <v>0</v>
      </c>
      <c r="AD47" s="22">
        <v>19.07</v>
      </c>
    </row>
    <row r="48" spans="1:30">
      <c r="A48" s="2" t="s">
        <v>98</v>
      </c>
      <c r="B48" s="2">
        <v>35.9259</v>
      </c>
      <c r="C48" s="2">
        <v>35.9259</v>
      </c>
      <c r="D48" s="18">
        <f t="shared" si="8"/>
        <v>0</v>
      </c>
      <c r="E48" s="22">
        <v>16.32</v>
      </c>
      <c r="F48" s="19"/>
      <c r="G48" s="2">
        <v>35.9259</v>
      </c>
      <c r="H48" s="2">
        <v>35.9259</v>
      </c>
      <c r="I48" s="18">
        <f t="shared" si="11"/>
        <v>0</v>
      </c>
      <c r="J48" s="2">
        <v>35.02</v>
      </c>
      <c r="L48" s="2">
        <v>35.9259</v>
      </c>
      <c r="M48" s="2">
        <v>35.9259</v>
      </c>
      <c r="N48" s="18">
        <f t="shared" si="12"/>
        <v>0</v>
      </c>
      <c r="O48" s="22">
        <v>23.55</v>
      </c>
      <c r="Q48" s="2">
        <v>35.9259</v>
      </c>
      <c r="R48" s="2">
        <v>35.9259</v>
      </c>
      <c r="S48" s="18">
        <f t="shared" si="13"/>
        <v>0</v>
      </c>
      <c r="T48" s="22">
        <v>17.96</v>
      </c>
      <c r="V48" s="2">
        <v>35.9259</v>
      </c>
      <c r="W48" s="2">
        <v>35.9259</v>
      </c>
      <c r="X48" s="18">
        <f t="shared" si="14"/>
        <v>0</v>
      </c>
      <c r="Y48" s="22">
        <v>19.35</v>
      </c>
      <c r="AA48" s="2">
        <v>35.9259</v>
      </c>
      <c r="AB48" s="2">
        <v>35.9259</v>
      </c>
      <c r="AC48" s="51">
        <f t="shared" si="15"/>
        <v>0</v>
      </c>
      <c r="AD48" s="22">
        <v>18.07</v>
      </c>
    </row>
    <row r="49" spans="1:30">
      <c r="A49" s="2" t="s">
        <v>99</v>
      </c>
      <c r="B49" s="2">
        <v>35.9259</v>
      </c>
      <c r="C49" s="2">
        <v>35.9259</v>
      </c>
      <c r="D49" s="18">
        <f t="shared" si="8"/>
        <v>0</v>
      </c>
      <c r="E49" s="22">
        <v>32.29</v>
      </c>
      <c r="F49" s="19"/>
      <c r="G49" s="2">
        <v>35.9259</v>
      </c>
      <c r="H49" s="2">
        <v>36.0072</v>
      </c>
      <c r="I49" s="18">
        <f t="shared" si="11"/>
        <v>0.0022578817569819</v>
      </c>
      <c r="J49" s="2">
        <v>174.09</v>
      </c>
      <c r="L49" s="2">
        <v>35.9259</v>
      </c>
      <c r="M49" s="2">
        <v>35.9259</v>
      </c>
      <c r="N49" s="18">
        <f t="shared" si="12"/>
        <v>0</v>
      </c>
      <c r="O49" s="22">
        <v>130.74</v>
      </c>
      <c r="Q49" s="2">
        <v>35.9259</v>
      </c>
      <c r="R49" s="2">
        <v>35.9259</v>
      </c>
      <c r="S49" s="18">
        <f t="shared" si="13"/>
        <v>0</v>
      </c>
      <c r="T49" s="22">
        <v>80.16</v>
      </c>
      <c r="V49" s="2">
        <v>35.9259</v>
      </c>
      <c r="W49" s="2">
        <v>35.9259</v>
      </c>
      <c r="X49" s="18">
        <f t="shared" si="14"/>
        <v>0</v>
      </c>
      <c r="Y49" s="22">
        <v>108.39</v>
      </c>
      <c r="AA49" s="2">
        <v>35.9259</v>
      </c>
      <c r="AB49" s="2">
        <v>35.9259</v>
      </c>
      <c r="AC49" s="51">
        <f t="shared" si="15"/>
        <v>0</v>
      </c>
      <c r="AD49" s="22">
        <v>105.22</v>
      </c>
    </row>
    <row r="50" spans="1:30">
      <c r="A50" s="2" t="s">
        <v>100</v>
      </c>
      <c r="B50" s="2">
        <v>36.3128</v>
      </c>
      <c r="C50" s="2">
        <v>36.3128</v>
      </c>
      <c r="D50" s="18">
        <f t="shared" si="8"/>
        <v>0</v>
      </c>
      <c r="E50" s="22">
        <v>82.74</v>
      </c>
      <c r="F50" s="19"/>
      <c r="G50" s="2">
        <v>36.3128</v>
      </c>
      <c r="H50" s="2">
        <v>36.341</v>
      </c>
      <c r="I50" s="18">
        <f t="shared" si="11"/>
        <v>0.000775983049448233</v>
      </c>
      <c r="J50" s="2">
        <v>137.48</v>
      </c>
      <c r="L50" s="2">
        <v>36.3128</v>
      </c>
      <c r="M50" s="2">
        <v>36.3128</v>
      </c>
      <c r="N50" s="18">
        <f t="shared" si="12"/>
        <v>0</v>
      </c>
      <c r="O50" s="22">
        <v>118.26</v>
      </c>
      <c r="Q50" s="2">
        <v>36.3128</v>
      </c>
      <c r="R50" s="2">
        <v>36.3128</v>
      </c>
      <c r="S50" s="18">
        <f t="shared" si="13"/>
        <v>0</v>
      </c>
      <c r="T50" s="22">
        <v>87.13</v>
      </c>
      <c r="V50" s="2">
        <v>36.3128</v>
      </c>
      <c r="W50" s="2">
        <v>36.3128</v>
      </c>
      <c r="X50" s="18">
        <f t="shared" si="14"/>
        <v>0</v>
      </c>
      <c r="Y50" s="22">
        <v>100.53</v>
      </c>
      <c r="AA50" s="2">
        <v>36.3128</v>
      </c>
      <c r="AB50" s="2">
        <v>36.3128</v>
      </c>
      <c r="AC50" s="51">
        <f t="shared" si="15"/>
        <v>0</v>
      </c>
      <c r="AD50" s="22">
        <v>94.71</v>
      </c>
    </row>
    <row r="51" spans="1:30">
      <c r="A51" s="2" t="s">
        <v>101</v>
      </c>
      <c r="B51" s="2">
        <v>36.3128</v>
      </c>
      <c r="C51" s="2">
        <v>36.3128</v>
      </c>
      <c r="D51" s="18">
        <f t="shared" si="8"/>
        <v>0</v>
      </c>
      <c r="E51" s="22">
        <v>46.27</v>
      </c>
      <c r="F51" s="19"/>
      <c r="G51" s="2">
        <v>36.3128</v>
      </c>
      <c r="H51" s="2">
        <v>36.3128</v>
      </c>
      <c r="I51" s="18">
        <f t="shared" si="11"/>
        <v>0</v>
      </c>
      <c r="J51" s="2">
        <v>88.11</v>
      </c>
      <c r="L51" s="2">
        <v>36.3128</v>
      </c>
      <c r="M51" s="2">
        <v>36.3128</v>
      </c>
      <c r="N51" s="18">
        <f t="shared" si="12"/>
        <v>0</v>
      </c>
      <c r="O51" s="22">
        <v>70.21</v>
      </c>
      <c r="Q51" s="2">
        <v>36.3128</v>
      </c>
      <c r="R51" s="2">
        <v>36.3128</v>
      </c>
      <c r="S51" s="18">
        <f t="shared" si="13"/>
        <v>0</v>
      </c>
      <c r="T51" s="22">
        <v>61.94</v>
      </c>
      <c r="V51" s="2">
        <v>36.3128</v>
      </c>
      <c r="W51" s="2">
        <v>36.3128</v>
      </c>
      <c r="X51" s="18">
        <f t="shared" si="14"/>
        <v>0</v>
      </c>
      <c r="Y51" s="22">
        <v>75.87</v>
      </c>
      <c r="AA51" s="2">
        <v>36.3128</v>
      </c>
      <c r="AB51" s="2">
        <v>36.3128</v>
      </c>
      <c r="AC51" s="51">
        <f t="shared" si="15"/>
        <v>0</v>
      </c>
      <c r="AD51" s="22">
        <v>68.53</v>
      </c>
    </row>
    <row r="52" spans="1:30">
      <c r="A52" s="2" t="s">
        <v>102</v>
      </c>
      <c r="B52" s="2">
        <v>36.3128</v>
      </c>
      <c r="C52" s="2">
        <v>36.3128</v>
      </c>
      <c r="D52" s="18">
        <f t="shared" si="8"/>
        <v>0</v>
      </c>
      <c r="E52" s="22">
        <v>167.27</v>
      </c>
      <c r="F52" s="19"/>
      <c r="G52" s="2">
        <v>36.3128</v>
      </c>
      <c r="H52" s="2">
        <v>36.4424</v>
      </c>
      <c r="I52" s="18">
        <f t="shared" si="11"/>
        <v>0.00355629706056671</v>
      </c>
      <c r="J52" s="2">
        <v>1328.4</v>
      </c>
      <c r="L52" s="2">
        <v>36.3128</v>
      </c>
      <c r="M52" s="2">
        <v>36.3128</v>
      </c>
      <c r="N52" s="18">
        <f t="shared" si="12"/>
        <v>0</v>
      </c>
      <c r="O52" s="22">
        <v>847.04</v>
      </c>
      <c r="Q52" s="2">
        <v>36.3128</v>
      </c>
      <c r="R52" s="2">
        <v>36.3128</v>
      </c>
      <c r="S52" s="18">
        <f t="shared" si="13"/>
        <v>0</v>
      </c>
      <c r="T52" s="22">
        <v>264.79</v>
      </c>
      <c r="V52" s="2">
        <v>36.3128</v>
      </c>
      <c r="W52" s="2">
        <v>36.3128</v>
      </c>
      <c r="X52" s="18">
        <f t="shared" si="14"/>
        <v>0</v>
      </c>
      <c r="Y52" s="22">
        <v>671.26</v>
      </c>
      <c r="AA52" s="2">
        <v>36.3128</v>
      </c>
      <c r="AB52" s="2">
        <v>36.3128</v>
      </c>
      <c r="AC52" s="51">
        <f t="shared" si="15"/>
        <v>0</v>
      </c>
      <c r="AD52" s="22">
        <v>300.92</v>
      </c>
    </row>
    <row r="53" spans="1:30">
      <c r="A53" s="2" t="s">
        <v>103</v>
      </c>
      <c r="B53" s="2">
        <v>36.3128</v>
      </c>
      <c r="C53" s="2">
        <v>36.3128</v>
      </c>
      <c r="D53" s="18">
        <f t="shared" si="8"/>
        <v>0</v>
      </c>
      <c r="E53" s="22">
        <v>245.9</v>
      </c>
      <c r="F53" s="19"/>
      <c r="G53" s="2">
        <v>36.3128</v>
      </c>
      <c r="H53" s="2">
        <v>36.3585</v>
      </c>
      <c r="I53" s="18">
        <f t="shared" si="11"/>
        <v>0.00125692754101507</v>
      </c>
      <c r="J53" s="2">
        <v>725.01</v>
      </c>
      <c r="L53" s="2">
        <v>36.3128</v>
      </c>
      <c r="M53" s="2">
        <v>36.3128</v>
      </c>
      <c r="N53" s="18">
        <f t="shared" si="12"/>
        <v>0</v>
      </c>
      <c r="O53" s="22">
        <v>619.47</v>
      </c>
      <c r="Q53" s="2">
        <v>36.3128</v>
      </c>
      <c r="R53" s="2">
        <v>36.3128</v>
      </c>
      <c r="S53" s="18">
        <f t="shared" si="13"/>
        <v>0</v>
      </c>
      <c r="T53" s="22">
        <v>401.29</v>
      </c>
      <c r="V53" s="2">
        <v>36.3128</v>
      </c>
      <c r="W53" s="2">
        <v>36.3128</v>
      </c>
      <c r="X53" s="18">
        <f t="shared" si="14"/>
        <v>0</v>
      </c>
      <c r="Y53" s="22">
        <v>461.11</v>
      </c>
      <c r="AA53" s="2">
        <v>36.3128</v>
      </c>
      <c r="AB53" s="2">
        <v>36.3128</v>
      </c>
      <c r="AC53" s="51">
        <f t="shared" si="15"/>
        <v>0</v>
      </c>
      <c r="AD53" s="22">
        <v>505.62</v>
      </c>
    </row>
    <row r="54" spans="1:30">
      <c r="A54" s="2" t="s">
        <v>104</v>
      </c>
      <c r="B54" s="2">
        <v>36.3128</v>
      </c>
      <c r="C54" s="2">
        <v>36.3128</v>
      </c>
      <c r="D54" s="18">
        <f t="shared" si="8"/>
        <v>0</v>
      </c>
      <c r="E54" s="22">
        <v>1576.68</v>
      </c>
      <c r="F54" s="19"/>
      <c r="G54" s="2">
        <v>36.3128</v>
      </c>
      <c r="H54" s="2">
        <v>37.047</v>
      </c>
      <c r="I54" s="18">
        <f t="shared" si="11"/>
        <v>0.0198180689394551</v>
      </c>
      <c r="J54" s="2">
        <v>3600</v>
      </c>
      <c r="L54" s="2">
        <v>36.3128</v>
      </c>
      <c r="M54" s="2">
        <v>36.3128</v>
      </c>
      <c r="N54" s="18">
        <f t="shared" si="12"/>
        <v>0</v>
      </c>
      <c r="O54" s="22">
        <v>2906.69</v>
      </c>
      <c r="Q54" s="2">
        <v>36.3128</v>
      </c>
      <c r="R54" s="2">
        <v>36.3128</v>
      </c>
      <c r="S54" s="18">
        <f t="shared" si="13"/>
        <v>0</v>
      </c>
      <c r="T54" s="22">
        <v>2168.2</v>
      </c>
      <c r="V54" s="2">
        <v>36.3128</v>
      </c>
      <c r="W54" s="2">
        <v>36.3128</v>
      </c>
      <c r="X54" s="18">
        <f t="shared" si="14"/>
        <v>0</v>
      </c>
      <c r="Y54" s="22">
        <v>2198.72</v>
      </c>
      <c r="AA54" s="2">
        <v>36.3128</v>
      </c>
      <c r="AB54" s="2">
        <v>36.3128</v>
      </c>
      <c r="AC54" s="51">
        <f t="shared" si="15"/>
        <v>0</v>
      </c>
      <c r="AD54" s="22">
        <v>2257.13</v>
      </c>
    </row>
    <row r="55" spans="1:30">
      <c r="A55" s="2" t="s">
        <v>105</v>
      </c>
      <c r="B55" s="2">
        <v>36.3128</v>
      </c>
      <c r="C55" s="2">
        <v>36.3128</v>
      </c>
      <c r="D55" s="18">
        <f t="shared" si="8"/>
        <v>0</v>
      </c>
      <c r="E55" s="22">
        <v>1403.76</v>
      </c>
      <c r="F55" s="19"/>
      <c r="G55" s="2">
        <v>36.3128</v>
      </c>
      <c r="H55" s="2">
        <v>37.047</v>
      </c>
      <c r="I55" s="18">
        <f t="shared" si="11"/>
        <v>0.0198180689394551</v>
      </c>
      <c r="J55" s="2">
        <v>3600</v>
      </c>
      <c r="L55" s="2">
        <v>36.3128</v>
      </c>
      <c r="M55" s="2">
        <v>36.3128</v>
      </c>
      <c r="N55" s="18">
        <f t="shared" si="12"/>
        <v>0</v>
      </c>
      <c r="O55" s="22">
        <v>3091.6</v>
      </c>
      <c r="Q55" s="2">
        <v>36.3128</v>
      </c>
      <c r="R55" s="2">
        <v>36.3128</v>
      </c>
      <c r="S55" s="18">
        <f t="shared" si="13"/>
        <v>0</v>
      </c>
      <c r="T55" s="22">
        <v>1884.56</v>
      </c>
      <c r="V55" s="2">
        <v>36.3128</v>
      </c>
      <c r="W55" s="2">
        <v>36.3128</v>
      </c>
      <c r="X55" s="18">
        <f t="shared" si="14"/>
        <v>0</v>
      </c>
      <c r="Y55" s="22">
        <v>2680.02</v>
      </c>
      <c r="AA55" s="2">
        <v>36.3128</v>
      </c>
      <c r="AB55" s="2">
        <v>36.3128</v>
      </c>
      <c r="AC55" s="51">
        <f t="shared" si="15"/>
        <v>0</v>
      </c>
      <c r="AD55" s="22">
        <v>2117.8</v>
      </c>
    </row>
    <row r="56" spans="1:30">
      <c r="A56" s="2" t="s">
        <v>106</v>
      </c>
      <c r="B56" s="2">
        <v>36.3128</v>
      </c>
      <c r="C56" s="2">
        <v>36.3128</v>
      </c>
      <c r="D56" s="18">
        <f t="shared" si="8"/>
        <v>0</v>
      </c>
      <c r="E56" s="22">
        <v>1442.08</v>
      </c>
      <c r="F56" s="19"/>
      <c r="G56" s="2">
        <v>36.3128</v>
      </c>
      <c r="H56" s="2">
        <v>37.047</v>
      </c>
      <c r="I56" s="18">
        <f t="shared" si="11"/>
        <v>0.0198180689394551</v>
      </c>
      <c r="J56" s="2">
        <v>3600</v>
      </c>
      <c r="L56" s="2">
        <v>36.3128</v>
      </c>
      <c r="M56" s="2">
        <v>36.3128</v>
      </c>
      <c r="N56" s="18">
        <f t="shared" si="12"/>
        <v>0</v>
      </c>
      <c r="O56" s="22">
        <v>2534.48</v>
      </c>
      <c r="Q56" s="2">
        <v>36.3128</v>
      </c>
      <c r="R56" s="2">
        <v>36.3128</v>
      </c>
      <c r="S56" s="18">
        <f t="shared" si="13"/>
        <v>0</v>
      </c>
      <c r="T56" s="22">
        <v>1702.24</v>
      </c>
      <c r="V56" s="2">
        <v>36.3128</v>
      </c>
      <c r="W56" s="2">
        <v>36.3128</v>
      </c>
      <c r="X56" s="18">
        <f t="shared" si="14"/>
        <v>0</v>
      </c>
      <c r="Y56" s="22">
        <v>2177.06</v>
      </c>
      <c r="AA56" s="2">
        <v>36.3128</v>
      </c>
      <c r="AB56" s="2">
        <v>36.3128</v>
      </c>
      <c r="AC56" s="51">
        <f t="shared" si="15"/>
        <v>0</v>
      </c>
      <c r="AD56" s="22">
        <v>1859.1</v>
      </c>
    </row>
    <row r="57" spans="1:30">
      <c r="A57" s="2" t="s">
        <v>107</v>
      </c>
      <c r="B57" s="2">
        <v>36.3128</v>
      </c>
      <c r="C57" s="2">
        <v>36.3128</v>
      </c>
      <c r="D57" s="18">
        <f t="shared" si="8"/>
        <v>0</v>
      </c>
      <c r="E57" s="22">
        <v>983.53</v>
      </c>
      <c r="F57" s="19"/>
      <c r="G57" s="2">
        <v>36.3128</v>
      </c>
      <c r="H57" s="2">
        <v>37.047</v>
      </c>
      <c r="I57" s="18">
        <f t="shared" si="11"/>
        <v>0.0198180689394551</v>
      </c>
      <c r="J57" s="2">
        <v>3600</v>
      </c>
      <c r="L57" s="2">
        <v>36.3128</v>
      </c>
      <c r="M57" s="2">
        <v>36.3128</v>
      </c>
      <c r="N57" s="18">
        <f t="shared" si="12"/>
        <v>0</v>
      </c>
      <c r="O57" s="22">
        <v>2607.44</v>
      </c>
      <c r="P57" s="19"/>
      <c r="Q57" s="2">
        <v>36.3128</v>
      </c>
      <c r="R57" s="2">
        <v>36.3128</v>
      </c>
      <c r="S57" s="18">
        <f t="shared" si="13"/>
        <v>0</v>
      </c>
      <c r="T57" s="22">
        <v>1281.97</v>
      </c>
      <c r="V57" s="2">
        <v>36.3128</v>
      </c>
      <c r="W57" s="2">
        <v>36.3128</v>
      </c>
      <c r="X57" s="18">
        <f t="shared" si="14"/>
        <v>0</v>
      </c>
      <c r="Y57" s="22">
        <v>1891.73</v>
      </c>
      <c r="AA57" s="2">
        <v>36.3128</v>
      </c>
      <c r="AB57" s="2">
        <v>36.3128</v>
      </c>
      <c r="AC57" s="51">
        <f t="shared" si="15"/>
        <v>0</v>
      </c>
      <c r="AD57" s="22">
        <v>1576.99</v>
      </c>
    </row>
    <row r="58" spans="1:30">
      <c r="A58" s="2" t="s">
        <v>23</v>
      </c>
      <c r="B58" s="2">
        <f>AVERAGE(B46:B57)</f>
        <v>35.981375</v>
      </c>
      <c r="C58" s="2">
        <f t="shared" ref="C58:AH58" si="18">AVERAGE(C46:C57)</f>
        <v>35.981375</v>
      </c>
      <c r="D58" s="2">
        <f t="shared" si="18"/>
        <v>0</v>
      </c>
      <c r="E58" s="2">
        <f t="shared" si="18"/>
        <v>510.906666666667</v>
      </c>
      <c r="F58" s="2" t="e">
        <f t="shared" si="18"/>
        <v>#DIV/0!</v>
      </c>
      <c r="G58" s="2">
        <f t="shared" si="18"/>
        <v>35.981375</v>
      </c>
      <c r="H58" s="2">
        <f t="shared" si="18"/>
        <v>36.2498416666667</v>
      </c>
      <c r="I58" s="2">
        <f t="shared" si="18"/>
        <v>0.0072599470971527</v>
      </c>
      <c r="J58" s="2">
        <f t="shared" si="18"/>
        <v>1428.42083333333</v>
      </c>
      <c r="K58" s="2" t="e">
        <f t="shared" si="18"/>
        <v>#DIV/0!</v>
      </c>
      <c r="L58" s="2">
        <f t="shared" si="18"/>
        <v>35.981375</v>
      </c>
      <c r="M58" s="2">
        <f t="shared" si="18"/>
        <v>35.981375</v>
      </c>
      <c r="N58" s="2">
        <f t="shared" si="18"/>
        <v>0</v>
      </c>
      <c r="O58" s="2">
        <f t="shared" si="18"/>
        <v>1095.9575</v>
      </c>
      <c r="P58" s="2" t="e">
        <f t="shared" si="18"/>
        <v>#DIV/0!</v>
      </c>
      <c r="Q58" s="2">
        <f t="shared" si="18"/>
        <v>35.981375</v>
      </c>
      <c r="R58" s="2">
        <f t="shared" si="18"/>
        <v>35.981375</v>
      </c>
      <c r="S58" s="2">
        <f t="shared" si="18"/>
        <v>0</v>
      </c>
      <c r="T58" s="2">
        <f t="shared" si="18"/>
        <v>675.675833333333</v>
      </c>
      <c r="U58" s="2" t="e">
        <f t="shared" si="18"/>
        <v>#DIV/0!</v>
      </c>
      <c r="V58" s="2">
        <f t="shared" si="18"/>
        <v>35.981375</v>
      </c>
      <c r="W58" s="2">
        <f t="shared" si="18"/>
        <v>35.981375</v>
      </c>
      <c r="X58" s="2">
        <f t="shared" si="18"/>
        <v>0</v>
      </c>
      <c r="Y58" s="2">
        <f t="shared" si="18"/>
        <v>881.349166666667</v>
      </c>
      <c r="Z58" s="2" t="e">
        <f t="shared" si="18"/>
        <v>#DIV/0!</v>
      </c>
      <c r="AA58" s="2">
        <f t="shared" si="18"/>
        <v>35.981375</v>
      </c>
      <c r="AB58" s="2">
        <f t="shared" si="18"/>
        <v>35.981375</v>
      </c>
      <c r="AC58" s="2">
        <f t="shared" si="18"/>
        <v>0</v>
      </c>
      <c r="AD58" s="2">
        <f t="shared" si="18"/>
        <v>755.649166666667</v>
      </c>
    </row>
    <row r="62" spans="1:30">
      <c r="B62" s="12"/>
      <c r="C62" s="12"/>
    </row>
    <row r="63" spans="1:30">
      <c r="B63" s="12"/>
      <c r="C63" s="12"/>
    </row>
    <row r="64" spans="1:30">
      <c r="B64" s="12"/>
      <c r="C64" s="12"/>
    </row>
    <row r="65" spans="2:3">
      <c r="B65" s="12"/>
      <c r="C65" s="12"/>
    </row>
    <row r="66" spans="2:3">
      <c r="B66" s="12"/>
      <c r="C66" s="12"/>
    </row>
    <row r="67" spans="2:3">
      <c r="B67" s="12"/>
      <c r="C67" s="12"/>
    </row>
    <row r="68" spans="2:3">
      <c r="B68" s="12"/>
      <c r="C68" s="12"/>
    </row>
    <row r="69" spans="2:3">
      <c r="B69" s="12"/>
      <c r="C69" s="12"/>
    </row>
    <row r="70" spans="2:3">
      <c r="B70" s="12"/>
      <c r="C70" s="12"/>
    </row>
    <row r="71" spans="2:3">
      <c r="B71" s="12"/>
      <c r="C71" s="12"/>
    </row>
    <row r="72" spans="2:3">
      <c r="B72" s="12"/>
      <c r="C72" s="12"/>
    </row>
    <row r="73" spans="2:3">
      <c r="B73" s="12"/>
      <c r="C73" s="12"/>
    </row>
    <row r="74" spans="2:3">
      <c r="B74" s="16"/>
      <c r="C74" s="16"/>
    </row>
    <row r="75" spans="2:3">
      <c r="B75" s="16"/>
      <c r="C75" s="16"/>
    </row>
    <row r="76" spans="2:3">
      <c r="B76" s="12"/>
      <c r="C76" s="12"/>
    </row>
    <row r="77" spans="2:3">
      <c r="B77" s="12"/>
      <c r="C77" s="12"/>
    </row>
    <row r="78" spans="2:3">
      <c r="B78" s="12"/>
      <c r="C78" s="12"/>
    </row>
    <row r="79" spans="2:3">
      <c r="B79" s="12"/>
      <c r="C79" s="12"/>
    </row>
    <row r="80" spans="2:3">
      <c r="B80" s="12"/>
      <c r="C80" s="12"/>
    </row>
    <row r="81" spans="2:3">
      <c r="B81" s="12"/>
      <c r="C81" s="12"/>
    </row>
    <row r="82" spans="2:3">
      <c r="B82" s="12"/>
      <c r="C82" s="12"/>
    </row>
    <row r="83" spans="2:3">
      <c r="B83" s="12"/>
      <c r="C83" s="12"/>
    </row>
    <row r="84" spans="2:3">
      <c r="B84" s="12"/>
      <c r="C84" s="12"/>
    </row>
    <row r="85" spans="2:3">
      <c r="B85" s="12"/>
      <c r="C85" s="12"/>
    </row>
    <row r="86" spans="2:3">
      <c r="B86" s="12"/>
      <c r="C86" s="12"/>
    </row>
    <row r="87" spans="2:3">
      <c r="B87" s="12"/>
      <c r="C87" s="12"/>
    </row>
    <row r="88" spans="2:3">
      <c r="B88" s="12"/>
      <c r="C88" s="12"/>
    </row>
  </sheetData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61"/>
  <sheetViews>
    <sheetView topLeftCell="A16" workbookViewId="0">
      <selection activeCell="L19" sqref="L19"/>
    </sheetView>
  </sheetViews>
  <sheetFormatPr defaultColWidth="8.72727272727273" defaultRowHeight="14"/>
  <cols>
    <col min="1" max="1" width="26.9090909090909" customWidth="1"/>
    <col min="2" max="2" width="8.63636363636364" customWidth="1"/>
    <col min="3" max="3" width="8.09090909090909" customWidth="1"/>
    <col min="4" max="4" width="12.1818181818182" customWidth="1"/>
    <col min="5" max="5" width="14.4545454545455" customWidth="1"/>
    <col min="6" max="7" width="8.72727272727273" customWidth="1"/>
    <col min="8" max="8" width="10.3636363636364" customWidth="1"/>
    <col min="9" max="9" width="11.4545454545455" customWidth="1"/>
    <col min="10" max="10" width="12.4545454545455" customWidth="1"/>
    <col min="11" max="11" width="7.54545454545455" customWidth="1"/>
    <col min="12" max="12" width="10.2727272727273" customWidth="1"/>
    <col min="13" max="13" width="8.63636363636364" customWidth="1"/>
    <col min="14" max="14" width="8.72727272727273" customWidth="1"/>
    <col min="15" max="15" width="11.1818181818182" customWidth="1"/>
    <col min="16" max="16" width="10.8181818181818" customWidth="1"/>
    <col min="17" max="17" width="10.4545454545455" customWidth="1"/>
    <col min="18" max="18" width="8.63636363636364" customWidth="1"/>
    <col min="19" max="19" width="7.63636363636364" customWidth="1"/>
    <col min="20" max="20" width="11.3636363636364" customWidth="1"/>
    <col min="21" max="21" width="10.5454545454545" customWidth="1"/>
    <col min="22" max="22" width="12.8181818181818" customWidth="1"/>
    <col min="23" max="23" width="7.90909090909091" customWidth="1"/>
    <col min="24" max="24" width="14"/>
    <col min="25" max="25" width="12.8181818181818"/>
  </cols>
  <sheetData>
    <row r="1" spans="1:25">
      <c r="A1" s="2" t="s">
        <v>0</v>
      </c>
      <c r="B1" s="2" t="s">
        <v>108</v>
      </c>
      <c r="C1" s="2"/>
      <c r="D1" s="2" t="s">
        <v>3</v>
      </c>
      <c r="E1" s="2" t="s">
        <v>10</v>
      </c>
      <c r="F1" s="2" t="s">
        <v>2</v>
      </c>
      <c r="G1" s="2"/>
      <c r="H1" s="2" t="s">
        <v>3</v>
      </c>
      <c r="I1" s="2" t="s">
        <v>10</v>
      </c>
      <c r="J1" s="2" t="s">
        <v>4</v>
      </c>
      <c r="K1" s="2"/>
      <c r="L1" s="2" t="s">
        <v>3</v>
      </c>
      <c r="M1" s="2" t="s">
        <v>10</v>
      </c>
      <c r="N1" s="2" t="s">
        <v>5</v>
      </c>
      <c r="O1" s="2"/>
      <c r="P1" s="2" t="s">
        <v>3</v>
      </c>
      <c r="Q1" s="2" t="s">
        <v>10</v>
      </c>
      <c r="R1" s="2" t="s">
        <v>6</v>
      </c>
      <c r="S1" s="2"/>
      <c r="T1" s="2" t="s">
        <v>3</v>
      </c>
      <c r="U1" s="2" t="s">
        <v>10</v>
      </c>
      <c r="V1" s="2" t="s">
        <v>7</v>
      </c>
      <c r="W1" s="2"/>
      <c r="X1" s="2" t="s">
        <v>3</v>
      </c>
      <c r="Y1" s="2" t="s">
        <v>10</v>
      </c>
    </row>
    <row r="2" spans="1:25">
      <c r="A2" s="3"/>
    </row>
    <row r="3" spans="1:25">
      <c r="A3" s="3" t="s">
        <v>109</v>
      </c>
      <c r="B3">
        <v>158.56</v>
      </c>
      <c r="C3" s="33">
        <v>192.91</v>
      </c>
      <c r="D3" s="24">
        <v>1787.27</v>
      </c>
      <c r="E3" s="6">
        <f t="shared" ref="E3:E15" si="0">(C3-B3)/C3</f>
        <v>0.178062308848686</v>
      </c>
      <c r="F3">
        <v>149.736</v>
      </c>
      <c r="G3" s="50">
        <v>195.6617</v>
      </c>
      <c r="H3">
        <v>3600</v>
      </c>
      <c r="I3" s="6">
        <f t="shared" ref="I3:I15" si="1">(G3-F3)/G3</f>
        <v>0.234719927303095</v>
      </c>
      <c r="J3" s="33">
        <v>149.82</v>
      </c>
      <c r="K3" s="50">
        <v>195.6617</v>
      </c>
      <c r="L3">
        <v>3600</v>
      </c>
      <c r="M3" s="6">
        <f t="shared" ref="M3:M15" si="2">(K3-J3)/K3</f>
        <v>0.234290614872507</v>
      </c>
      <c r="N3">
        <v>158.56</v>
      </c>
      <c r="O3" s="33">
        <v>195.12</v>
      </c>
      <c r="P3" s="33">
        <v>1855.59</v>
      </c>
      <c r="Q3" s="6">
        <f t="shared" ref="Q3:Q15" si="3">(O3-N3)/O3</f>
        <v>0.187371873718737</v>
      </c>
      <c r="R3" s="33">
        <v>150.51</v>
      </c>
      <c r="S3" s="50">
        <v>195.6617</v>
      </c>
      <c r="T3" s="33">
        <v>2851.75</v>
      </c>
      <c r="U3" s="6">
        <f t="shared" ref="U3:U15" si="4">(S3-R3)/S3</f>
        <v>0.230764119906962</v>
      </c>
      <c r="V3" s="33">
        <v>153.95</v>
      </c>
      <c r="W3" s="33">
        <v>195.47</v>
      </c>
      <c r="X3" s="50">
        <v>2076.46993375031</v>
      </c>
      <c r="Y3" s="6">
        <f t="shared" ref="Y3:Y15" si="5">(W3-V3)/W3</f>
        <v>0.212411111679542</v>
      </c>
    </row>
    <row r="4" spans="1:25">
      <c r="A4" s="3" t="s">
        <v>110</v>
      </c>
      <c r="B4">
        <v>201.35</v>
      </c>
      <c r="C4" s="33">
        <v>203.7</v>
      </c>
      <c r="D4" s="24">
        <v>159.57</v>
      </c>
      <c r="E4" s="6">
        <f t="shared" si="0"/>
        <v>0.0115365733922435</v>
      </c>
      <c r="F4">
        <v>196.5494</v>
      </c>
      <c r="G4">
        <v>205.589</v>
      </c>
      <c r="H4">
        <v>3600</v>
      </c>
      <c r="I4" s="6">
        <f t="shared" si="1"/>
        <v>0.0439692785119827</v>
      </c>
      <c r="J4" s="33">
        <v>197.97</v>
      </c>
      <c r="K4">
        <v>205.589</v>
      </c>
      <c r="L4">
        <v>3600</v>
      </c>
      <c r="M4" s="6">
        <f t="shared" si="2"/>
        <v>0.0370593757448112</v>
      </c>
      <c r="N4">
        <v>201.35</v>
      </c>
      <c r="O4" s="33">
        <v>205.54</v>
      </c>
      <c r="P4" s="33">
        <v>408.66</v>
      </c>
      <c r="Q4" s="6">
        <f t="shared" si="3"/>
        <v>0.0203853264571373</v>
      </c>
      <c r="R4" s="33">
        <v>199.62</v>
      </c>
      <c r="S4">
        <v>205.589</v>
      </c>
      <c r="T4" s="33">
        <v>2552.08</v>
      </c>
      <c r="U4" s="6">
        <f t="shared" si="4"/>
        <v>0.0290336545243179</v>
      </c>
      <c r="V4" s="33">
        <v>201.31</v>
      </c>
      <c r="W4" s="33">
        <v>205.56</v>
      </c>
      <c r="X4" s="50">
        <v>579.596954221479</v>
      </c>
      <c r="Y4" s="6">
        <f t="shared" si="5"/>
        <v>0.020675228643705</v>
      </c>
    </row>
    <row r="5" spans="1:25">
      <c r="A5" s="3" t="s">
        <v>111</v>
      </c>
      <c r="B5">
        <v>202.04</v>
      </c>
      <c r="C5" s="33">
        <v>204.28</v>
      </c>
      <c r="D5" s="24">
        <v>2158.49</v>
      </c>
      <c r="E5" s="6">
        <f t="shared" si="0"/>
        <v>0.0109653416878794</v>
      </c>
      <c r="F5">
        <v>196.4574</v>
      </c>
      <c r="G5">
        <v>205.589</v>
      </c>
      <c r="H5">
        <v>3600</v>
      </c>
      <c r="I5" s="6">
        <f t="shared" si="1"/>
        <v>0.0444167732709434</v>
      </c>
      <c r="J5" s="33">
        <v>197.63</v>
      </c>
      <c r="K5">
        <v>205.589</v>
      </c>
      <c r="L5">
        <v>3600</v>
      </c>
      <c r="M5" s="6">
        <f t="shared" si="2"/>
        <v>0.0387131607235796</v>
      </c>
      <c r="N5" s="33">
        <v>202.04</v>
      </c>
      <c r="O5" s="33">
        <v>205.2</v>
      </c>
      <c r="P5" s="33">
        <v>2366.44</v>
      </c>
      <c r="Q5" s="6">
        <f t="shared" si="3"/>
        <v>0.0153996101364522</v>
      </c>
      <c r="R5" s="33">
        <v>198.77</v>
      </c>
      <c r="S5">
        <v>205.589</v>
      </c>
      <c r="T5" s="33">
        <v>3174.39</v>
      </c>
      <c r="U5" s="6">
        <f t="shared" si="4"/>
        <v>0.0331681169712387</v>
      </c>
      <c r="V5" s="33">
        <v>198.22</v>
      </c>
      <c r="W5" s="33">
        <v>205.37</v>
      </c>
      <c r="X5" s="50">
        <v>2329.08721988839</v>
      </c>
      <c r="Y5" s="6">
        <f t="shared" si="5"/>
        <v>0.0348152115693626</v>
      </c>
    </row>
    <row r="6" spans="1:25">
      <c r="A6" s="3" t="s">
        <v>112</v>
      </c>
      <c r="B6">
        <v>189.93</v>
      </c>
      <c r="C6" s="33">
        <v>195.69</v>
      </c>
      <c r="D6" s="24">
        <v>116.7</v>
      </c>
      <c r="E6" s="6">
        <f t="shared" si="0"/>
        <v>0.0294343093668557</v>
      </c>
      <c r="F6">
        <v>162.94</v>
      </c>
      <c r="G6">
        <v>205.56</v>
      </c>
      <c r="H6">
        <v>3600</v>
      </c>
      <c r="I6" s="6">
        <f t="shared" si="1"/>
        <v>0.207336057598755</v>
      </c>
      <c r="J6" s="33">
        <v>168.04</v>
      </c>
      <c r="K6">
        <v>205.56</v>
      </c>
      <c r="L6">
        <v>3600</v>
      </c>
      <c r="M6" s="6">
        <f t="shared" si="2"/>
        <v>0.182525783226309</v>
      </c>
      <c r="N6">
        <v>189.93</v>
      </c>
      <c r="O6" s="33">
        <v>201.2</v>
      </c>
      <c r="P6" s="33">
        <v>517.17</v>
      </c>
      <c r="Q6" s="6">
        <f t="shared" si="3"/>
        <v>0.056013916500994</v>
      </c>
      <c r="R6" s="33">
        <v>168.24</v>
      </c>
      <c r="S6">
        <v>205.56</v>
      </c>
      <c r="T6" s="33">
        <v>1457.09</v>
      </c>
      <c r="U6" s="6">
        <f t="shared" si="4"/>
        <v>0.181552831290134</v>
      </c>
      <c r="V6" s="33">
        <v>177.12</v>
      </c>
      <c r="W6" s="33">
        <v>202.58</v>
      </c>
      <c r="X6" s="50">
        <v>765.582385382327</v>
      </c>
      <c r="Y6" s="6">
        <f t="shared" si="5"/>
        <v>0.125678744199822</v>
      </c>
    </row>
    <row r="7" spans="1:25">
      <c r="A7" s="3" t="s">
        <v>113</v>
      </c>
      <c r="B7">
        <v>204.53</v>
      </c>
      <c r="C7" s="33">
        <v>204.56</v>
      </c>
      <c r="D7" s="24">
        <v>2738.58</v>
      </c>
      <c r="E7" s="6">
        <f t="shared" si="0"/>
        <v>0.000146656237778652</v>
      </c>
      <c r="F7">
        <v>189.61</v>
      </c>
      <c r="G7">
        <v>205.589</v>
      </c>
      <c r="H7">
        <v>3600</v>
      </c>
      <c r="I7" s="6">
        <f t="shared" si="1"/>
        <v>0.077723029928644</v>
      </c>
      <c r="J7" s="33">
        <v>191.34</v>
      </c>
      <c r="K7">
        <v>205.589</v>
      </c>
      <c r="L7">
        <v>3600</v>
      </c>
      <c r="M7" s="6">
        <f t="shared" si="2"/>
        <v>0.0693081828307935</v>
      </c>
      <c r="N7">
        <v>204.53</v>
      </c>
      <c r="O7" s="33">
        <v>205.35</v>
      </c>
      <c r="P7" s="33">
        <v>2881.7</v>
      </c>
      <c r="Q7" s="6">
        <f t="shared" si="3"/>
        <v>0.00399318237156072</v>
      </c>
      <c r="R7" s="33">
        <v>192.64</v>
      </c>
      <c r="S7">
        <v>205.589</v>
      </c>
      <c r="T7" s="33">
        <v>3183.96</v>
      </c>
      <c r="U7" s="6">
        <f t="shared" si="4"/>
        <v>0.0629848873237382</v>
      </c>
      <c r="V7" s="33">
        <v>196.22</v>
      </c>
      <c r="W7" s="33">
        <v>204.55</v>
      </c>
      <c r="X7" s="50">
        <v>2883.06881013133</v>
      </c>
      <c r="Y7" s="6">
        <f t="shared" si="5"/>
        <v>0.0407235394769006</v>
      </c>
    </row>
    <row r="8" s="14" customFormat="1" ht="13" customHeight="1" spans="1:25">
      <c r="A8" s="14" t="s">
        <v>114</v>
      </c>
      <c r="B8" s="14">
        <v>204.79</v>
      </c>
      <c r="C8" s="32">
        <v>205.5</v>
      </c>
      <c r="D8" s="11">
        <v>262.38</v>
      </c>
      <c r="E8" s="49">
        <f t="shared" si="0"/>
        <v>0.00345498783454992</v>
      </c>
      <c r="F8" s="14">
        <v>200.5708</v>
      </c>
      <c r="G8" s="14">
        <v>205.589</v>
      </c>
      <c r="H8" s="10">
        <v>3600</v>
      </c>
      <c r="I8" s="49">
        <f t="shared" si="1"/>
        <v>0.024408893471927</v>
      </c>
      <c r="J8" s="32">
        <v>202.11</v>
      </c>
      <c r="K8" s="14">
        <v>205.589</v>
      </c>
      <c r="L8" s="10">
        <v>3600</v>
      </c>
      <c r="M8" s="49">
        <f t="shared" si="2"/>
        <v>0.0169221115915734</v>
      </c>
      <c r="N8" s="14">
        <v>204.79</v>
      </c>
      <c r="O8" s="11">
        <v>205.53</v>
      </c>
      <c r="P8" s="32">
        <v>487.83</v>
      </c>
      <c r="Q8" s="49">
        <f t="shared" si="3"/>
        <v>0.00360044762321807</v>
      </c>
      <c r="R8" s="32">
        <v>202.44</v>
      </c>
      <c r="S8" s="14">
        <v>205.589</v>
      </c>
      <c r="T8" s="11">
        <v>2036.91</v>
      </c>
      <c r="U8" s="49">
        <f t="shared" si="4"/>
        <v>0.0153169673474748</v>
      </c>
      <c r="V8" s="32">
        <v>205.58</v>
      </c>
      <c r="W8" s="11">
        <v>205.57</v>
      </c>
      <c r="X8" s="30">
        <v>1250.29448435921</v>
      </c>
      <c r="Y8" s="49">
        <f t="shared" si="5"/>
        <v>-4.86452303352597e-5</v>
      </c>
    </row>
    <row r="9" s="10" customFormat="1" spans="1:25">
      <c r="A9" s="14" t="s">
        <v>115</v>
      </c>
      <c r="B9" s="14">
        <v>202.29</v>
      </c>
      <c r="C9" s="14">
        <v>202.29</v>
      </c>
      <c r="D9" s="11">
        <v>258.44</v>
      </c>
      <c r="E9" s="49">
        <f t="shared" si="0"/>
        <v>0</v>
      </c>
      <c r="F9" s="10">
        <v>196.226</v>
      </c>
      <c r="G9" s="10">
        <v>205.589</v>
      </c>
      <c r="H9" s="10">
        <v>3600</v>
      </c>
      <c r="I9" s="49">
        <f t="shared" si="1"/>
        <v>0.0455423198711993</v>
      </c>
      <c r="J9" s="11">
        <v>196.72</v>
      </c>
      <c r="K9" s="10">
        <v>205.589</v>
      </c>
      <c r="L9" s="10">
        <v>3600</v>
      </c>
      <c r="M9" s="49">
        <f t="shared" si="2"/>
        <v>0.0431394675785183</v>
      </c>
      <c r="N9" s="14">
        <v>202.29</v>
      </c>
      <c r="O9" s="11">
        <v>205.54</v>
      </c>
      <c r="P9" s="11">
        <v>629.99</v>
      </c>
      <c r="Q9" s="49">
        <f t="shared" si="3"/>
        <v>0.0158120073951542</v>
      </c>
      <c r="R9" s="11">
        <v>197.55</v>
      </c>
      <c r="S9" s="10">
        <v>205.589</v>
      </c>
      <c r="T9" s="11">
        <v>1316.01</v>
      </c>
      <c r="U9" s="49">
        <f t="shared" si="4"/>
        <v>0.0391022866009368</v>
      </c>
      <c r="V9" s="11">
        <v>197.89</v>
      </c>
      <c r="W9" s="11">
        <v>205.56</v>
      </c>
      <c r="X9" s="15">
        <v>858.224565942673</v>
      </c>
      <c r="Y9" s="49">
        <f t="shared" si="5"/>
        <v>0.0373127067522865</v>
      </c>
    </row>
    <row r="10" s="10" customFormat="1" spans="1:25">
      <c r="A10" s="14" t="s">
        <v>116</v>
      </c>
      <c r="B10" s="14">
        <v>204.93</v>
      </c>
      <c r="C10" s="14">
        <v>204.93</v>
      </c>
      <c r="D10" s="11">
        <v>103.14</v>
      </c>
      <c r="E10" s="49">
        <f t="shared" si="0"/>
        <v>0</v>
      </c>
      <c r="F10" s="10">
        <v>198.67</v>
      </c>
      <c r="G10" s="10">
        <v>205.589</v>
      </c>
      <c r="H10" s="10">
        <v>3600</v>
      </c>
      <c r="I10" s="49">
        <f t="shared" si="1"/>
        <v>0.0336545243179353</v>
      </c>
      <c r="J10" s="11">
        <v>200.48</v>
      </c>
      <c r="K10" s="10">
        <v>205.589</v>
      </c>
      <c r="L10" s="10">
        <v>3600</v>
      </c>
      <c r="M10" s="49">
        <f t="shared" si="2"/>
        <v>0.0248505513427275</v>
      </c>
      <c r="N10" s="14">
        <v>204.93</v>
      </c>
      <c r="O10" s="11">
        <v>205.73</v>
      </c>
      <c r="P10" s="11">
        <v>529.25</v>
      </c>
      <c r="Q10" s="49">
        <f t="shared" si="3"/>
        <v>0.00388859184367853</v>
      </c>
      <c r="R10" s="11">
        <v>201.86</v>
      </c>
      <c r="S10" s="10">
        <v>205.589</v>
      </c>
      <c r="T10" s="11">
        <v>1271.62</v>
      </c>
      <c r="U10" s="49">
        <f t="shared" si="4"/>
        <v>0.0181381299583148</v>
      </c>
      <c r="V10" s="11">
        <v>201.17</v>
      </c>
      <c r="W10" s="11">
        <v>204.98</v>
      </c>
      <c r="X10" s="15">
        <v>1016.09150951025</v>
      </c>
      <c r="Y10" s="49">
        <f t="shared" si="5"/>
        <v>0.0185871792369987</v>
      </c>
    </row>
    <row r="11" spans="1:25">
      <c r="A11" s="3" t="s">
        <v>117</v>
      </c>
      <c r="B11">
        <v>204.97</v>
      </c>
      <c r="C11" s="33">
        <v>205.013</v>
      </c>
      <c r="D11" s="24">
        <v>684.55</v>
      </c>
      <c r="E11" s="6">
        <f t="shared" si="0"/>
        <v>0.000209742796798283</v>
      </c>
      <c r="F11">
        <v>200.5708</v>
      </c>
      <c r="G11">
        <v>205.589</v>
      </c>
      <c r="H11">
        <v>3600</v>
      </c>
      <c r="I11" s="6">
        <f t="shared" si="1"/>
        <v>0.024408893471927</v>
      </c>
      <c r="J11" s="33">
        <v>201.54</v>
      </c>
      <c r="K11">
        <v>205.589</v>
      </c>
      <c r="L11">
        <v>3600</v>
      </c>
      <c r="M11" s="6">
        <f t="shared" si="2"/>
        <v>0.0196946334677439</v>
      </c>
      <c r="N11">
        <v>204.97</v>
      </c>
      <c r="O11" s="33">
        <v>205.1</v>
      </c>
      <c r="P11" s="33">
        <v>744.06</v>
      </c>
      <c r="Q11" s="6">
        <f t="shared" si="3"/>
        <v>0.000633837152608462</v>
      </c>
      <c r="R11" s="33">
        <v>201.64</v>
      </c>
      <c r="S11">
        <v>205.589</v>
      </c>
      <c r="T11" s="33">
        <v>1450.76</v>
      </c>
      <c r="U11" s="6">
        <f t="shared" si="4"/>
        <v>0.0192082261210474</v>
      </c>
      <c r="V11" s="33">
        <v>204.15</v>
      </c>
      <c r="W11" s="33">
        <v>205.26</v>
      </c>
      <c r="X11" s="50">
        <v>1650.64642686825</v>
      </c>
      <c r="Y11" s="6">
        <f t="shared" si="5"/>
        <v>0.00540777550423845</v>
      </c>
    </row>
    <row r="12" spans="1:25">
      <c r="A12" s="3" t="s">
        <v>118</v>
      </c>
      <c r="B12">
        <v>205.34</v>
      </c>
      <c r="C12" s="33">
        <v>205.34</v>
      </c>
      <c r="D12" s="24">
        <v>283.7</v>
      </c>
      <c r="E12" s="6">
        <f t="shared" si="0"/>
        <v>0</v>
      </c>
      <c r="F12">
        <v>197.1</v>
      </c>
      <c r="G12">
        <v>205.589</v>
      </c>
      <c r="H12">
        <v>3600</v>
      </c>
      <c r="I12" s="6">
        <f t="shared" si="1"/>
        <v>0.0412911196610714</v>
      </c>
      <c r="J12">
        <v>205.34</v>
      </c>
      <c r="K12">
        <v>205.589</v>
      </c>
      <c r="L12">
        <v>3600</v>
      </c>
      <c r="M12" s="6">
        <f t="shared" si="2"/>
        <v>0.00121115429327442</v>
      </c>
      <c r="N12">
        <v>205.34</v>
      </c>
      <c r="O12" s="33">
        <v>205.57</v>
      </c>
      <c r="P12" s="33">
        <v>575.61</v>
      </c>
      <c r="Q12" s="6">
        <f t="shared" si="3"/>
        <v>0.00111884029770876</v>
      </c>
      <c r="R12" s="33">
        <v>205.12</v>
      </c>
      <c r="S12">
        <v>205.589</v>
      </c>
      <c r="T12" s="33">
        <v>2583.4</v>
      </c>
      <c r="U12" s="6">
        <f t="shared" si="4"/>
        <v>0.00228125045600686</v>
      </c>
      <c r="V12" s="33">
        <v>205.34</v>
      </c>
      <c r="W12" s="33">
        <v>205.58</v>
      </c>
      <c r="X12" s="50">
        <v>1171.65951966669</v>
      </c>
      <c r="Y12" s="6">
        <f t="shared" si="5"/>
        <v>0.00116742873820415</v>
      </c>
    </row>
    <row r="13" spans="1:25">
      <c r="A13" s="3" t="s">
        <v>119</v>
      </c>
      <c r="B13">
        <v>205.59</v>
      </c>
      <c r="C13" s="33">
        <v>205.59</v>
      </c>
      <c r="D13" s="24">
        <v>160.46</v>
      </c>
      <c r="E13" s="6">
        <f t="shared" si="0"/>
        <v>0</v>
      </c>
      <c r="F13">
        <v>205.589</v>
      </c>
      <c r="G13">
        <v>205.589</v>
      </c>
      <c r="H13">
        <v>2674.7</v>
      </c>
      <c r="I13" s="6">
        <f t="shared" si="1"/>
        <v>0</v>
      </c>
      <c r="J13">
        <v>205.59</v>
      </c>
      <c r="K13">
        <v>205.589</v>
      </c>
      <c r="L13" s="33">
        <v>1978.6</v>
      </c>
      <c r="M13" s="6">
        <f t="shared" si="2"/>
        <v>-4.86407346698887e-6</v>
      </c>
      <c r="N13">
        <v>205.59</v>
      </c>
      <c r="O13" s="33">
        <v>205.59</v>
      </c>
      <c r="P13" s="33">
        <v>517.17</v>
      </c>
      <c r="Q13" s="6">
        <f t="shared" si="3"/>
        <v>0</v>
      </c>
      <c r="R13" s="33">
        <v>205.59</v>
      </c>
      <c r="S13">
        <v>205.589</v>
      </c>
      <c r="T13" s="33">
        <v>988.54</v>
      </c>
      <c r="U13" s="6">
        <f t="shared" si="4"/>
        <v>-4.86407346698887e-6</v>
      </c>
      <c r="V13" s="33">
        <v>205.59</v>
      </c>
      <c r="W13" s="33">
        <v>205.59</v>
      </c>
      <c r="X13" s="50">
        <v>356.743184780356</v>
      </c>
      <c r="Y13" s="6">
        <f t="shared" si="5"/>
        <v>0</v>
      </c>
    </row>
    <row r="14" spans="1:25">
      <c r="A14" s="3" t="s">
        <v>120</v>
      </c>
      <c r="B14">
        <v>205.59</v>
      </c>
      <c r="C14" s="33">
        <v>205.59</v>
      </c>
      <c r="D14" s="24">
        <v>251.19</v>
      </c>
      <c r="E14" s="6">
        <f t="shared" si="0"/>
        <v>0</v>
      </c>
      <c r="F14">
        <v>205.589</v>
      </c>
      <c r="G14">
        <v>205.589</v>
      </c>
      <c r="H14">
        <v>2288.73</v>
      </c>
      <c r="I14" s="6">
        <f t="shared" si="1"/>
        <v>0</v>
      </c>
      <c r="J14">
        <v>205.59</v>
      </c>
      <c r="K14">
        <v>205.589</v>
      </c>
      <c r="L14" s="33">
        <v>1619.6</v>
      </c>
      <c r="M14" s="6">
        <f t="shared" si="2"/>
        <v>-4.86407346698887e-6</v>
      </c>
      <c r="N14">
        <v>205.59</v>
      </c>
      <c r="O14" s="33">
        <v>205.59</v>
      </c>
      <c r="P14" s="33">
        <v>336.87</v>
      </c>
      <c r="Q14" s="6">
        <f t="shared" si="3"/>
        <v>0</v>
      </c>
      <c r="R14" s="33">
        <v>205.59</v>
      </c>
      <c r="S14">
        <v>205.589</v>
      </c>
      <c r="T14" s="33">
        <v>1142.36</v>
      </c>
      <c r="U14" s="6">
        <f t="shared" si="4"/>
        <v>-4.86407346698887e-6</v>
      </c>
      <c r="V14" s="33">
        <v>205.59</v>
      </c>
      <c r="W14" s="33">
        <v>205.59</v>
      </c>
      <c r="X14" s="50">
        <v>691.286508656735</v>
      </c>
      <c r="Y14" s="6">
        <f t="shared" si="5"/>
        <v>0</v>
      </c>
    </row>
    <row r="15" spans="1:25">
      <c r="A15" s="3" t="s">
        <v>23</v>
      </c>
      <c r="B15" s="50">
        <f>AVERAGE(B3:B14)</f>
        <v>199.159166666667</v>
      </c>
      <c r="C15" s="50">
        <f t="shared" ref="C15:X15" si="6">AVERAGE(C3:C14)</f>
        <v>202.949416666667</v>
      </c>
      <c r="D15" s="50">
        <f t="shared" si="6"/>
        <v>747.039166666667</v>
      </c>
      <c r="E15" s="6">
        <f t="shared" si="0"/>
        <v>0.0186758358917843</v>
      </c>
      <c r="F15" s="50">
        <f t="shared" si="6"/>
        <v>191.634033333333</v>
      </c>
      <c r="G15" s="50">
        <f t="shared" si="6"/>
        <v>204.759308333333</v>
      </c>
      <c r="H15" s="50">
        <f t="shared" si="6"/>
        <v>3413.61916666667</v>
      </c>
      <c r="I15" s="6">
        <f t="shared" si="1"/>
        <v>0.0641009930480569</v>
      </c>
      <c r="J15" s="50">
        <f t="shared" si="6"/>
        <v>193.514166666667</v>
      </c>
      <c r="K15" s="50">
        <f t="shared" si="6"/>
        <v>204.759308333333</v>
      </c>
      <c r="L15" s="50">
        <f t="shared" si="6"/>
        <v>3299.85</v>
      </c>
      <c r="M15" s="6">
        <f t="shared" si="2"/>
        <v>0.0549188301044675</v>
      </c>
      <c r="N15" s="50">
        <f t="shared" si="6"/>
        <v>199.159166666667</v>
      </c>
      <c r="O15" s="50">
        <f t="shared" si="6"/>
        <v>204.255</v>
      </c>
      <c r="P15" s="50">
        <f t="shared" si="6"/>
        <v>987.528333333334</v>
      </c>
      <c r="Q15" s="6">
        <f t="shared" si="3"/>
        <v>0.0249483896763033</v>
      </c>
      <c r="R15" s="50">
        <f t="shared" si="6"/>
        <v>194.130833333333</v>
      </c>
      <c r="S15" s="50">
        <f t="shared" si="6"/>
        <v>204.759308333333</v>
      </c>
      <c r="T15" s="50">
        <f t="shared" si="6"/>
        <v>2000.73916666667</v>
      </c>
      <c r="U15" s="6">
        <f t="shared" si="4"/>
        <v>0.0519071640088642</v>
      </c>
      <c r="V15" s="50">
        <f t="shared" si="6"/>
        <v>196.010833333333</v>
      </c>
      <c r="W15" s="50">
        <f t="shared" si="6"/>
        <v>204.305</v>
      </c>
      <c r="X15" s="50">
        <f t="shared" si="6"/>
        <v>1302.3959585965</v>
      </c>
      <c r="Y15" s="6">
        <f t="shared" si="5"/>
        <v>0.0405969832684791</v>
      </c>
    </row>
    <row r="16" spans="1:25">
      <c r="A16" s="3"/>
      <c r="B16">
        <f>AVERAGE(B45,B15)</f>
        <v>198.186666666667</v>
      </c>
      <c r="C16">
        <f t="shared" ref="C16:Y16" si="7">AVERAGE(C45,C15)</f>
        <v>202.210416666667</v>
      </c>
      <c r="D16">
        <f t="shared" si="7"/>
        <v>1542.02916666667</v>
      </c>
      <c r="E16">
        <f t="shared" si="7"/>
        <v>0.0201570371562637</v>
      </c>
      <c r="F16">
        <f t="shared" si="7"/>
        <v>190.8985625</v>
      </c>
      <c r="G16">
        <f t="shared" si="7"/>
        <v>204.796945833333</v>
      </c>
      <c r="H16">
        <f t="shared" si="7"/>
        <v>3506.80958333334</v>
      </c>
      <c r="I16">
        <f t="shared" si="7"/>
        <v>0.0680561399955308</v>
      </c>
      <c r="J16">
        <f t="shared" si="7"/>
        <v>192.89125</v>
      </c>
      <c r="K16">
        <f t="shared" si="7"/>
        <v>204.796945833333</v>
      </c>
      <c r="L16">
        <f t="shared" si="7"/>
        <v>3449.925</v>
      </c>
      <c r="M16">
        <f t="shared" si="7"/>
        <v>0.0583224153366703</v>
      </c>
      <c r="N16">
        <f t="shared" si="7"/>
        <v>197.15</v>
      </c>
      <c r="O16">
        <f t="shared" si="7"/>
        <v>203.139166666667</v>
      </c>
      <c r="P16">
        <f t="shared" si="7"/>
        <v>1748.1525</v>
      </c>
      <c r="Q16">
        <f t="shared" si="7"/>
        <v>0.0297485926380587</v>
      </c>
      <c r="R16">
        <f t="shared" si="7"/>
        <v>192.271666666666</v>
      </c>
      <c r="S16">
        <f t="shared" si="7"/>
        <v>204.796945833333</v>
      </c>
      <c r="T16">
        <f t="shared" si="7"/>
        <v>2306.71958333334</v>
      </c>
      <c r="U16">
        <f t="shared" si="7"/>
        <v>0.0613482103872711</v>
      </c>
      <c r="V16">
        <f t="shared" si="7"/>
        <v>194.72375</v>
      </c>
      <c r="W16">
        <f t="shared" si="7"/>
        <v>203.61875</v>
      </c>
      <c r="X16">
        <f t="shared" si="7"/>
        <v>1907.45464596492</v>
      </c>
      <c r="Y16">
        <f t="shared" si="7"/>
        <v>0.0439718921429111</v>
      </c>
    </row>
    <row r="17" spans="1:25">
      <c r="A17" s="3"/>
      <c r="C17" s="33"/>
      <c r="E17" s="6"/>
      <c r="I17" s="6"/>
      <c r="M17" s="6"/>
      <c r="Q17" s="6"/>
      <c r="U17" s="6"/>
      <c r="Y17" s="6"/>
    </row>
    <row r="18" spans="1:25">
      <c r="A18" s="3" t="s">
        <v>121</v>
      </c>
      <c r="B18">
        <v>210.99</v>
      </c>
      <c r="C18" s="33">
        <v>223.697</v>
      </c>
      <c r="D18">
        <v>2278.5</v>
      </c>
      <c r="E18" s="6">
        <f t="shared" ref="E18:E36" si="8">(C18-B18)/C18</f>
        <v>0.0568045168240969</v>
      </c>
      <c r="F18">
        <v>181.713</v>
      </c>
      <c r="G18">
        <v>223.7142</v>
      </c>
      <c r="H18">
        <v>3600</v>
      </c>
      <c r="I18" s="6">
        <f t="shared" ref="I18:I36" si="9">(G18-F18)/G18</f>
        <v>0.187744899519119</v>
      </c>
      <c r="J18">
        <v>182.447</v>
      </c>
      <c r="K18">
        <v>223.7142</v>
      </c>
      <c r="L18">
        <v>3600</v>
      </c>
      <c r="M18" s="6">
        <f t="shared" ref="M18:M36" si="10">(K18-J18)/K18</f>
        <v>0.184463927636243</v>
      </c>
      <c r="N18" s="10">
        <v>209.122</v>
      </c>
      <c r="O18">
        <v>223.6992</v>
      </c>
      <c r="P18">
        <v>3085.43</v>
      </c>
      <c r="Q18" s="6">
        <f t="shared" ref="Q18:Q36" si="11">(O18-N18)/O18</f>
        <v>0.0651642920493233</v>
      </c>
      <c r="R18">
        <v>187.11</v>
      </c>
      <c r="S18">
        <v>223.7109</v>
      </c>
      <c r="T18">
        <v>3503.78</v>
      </c>
      <c r="U18" s="6">
        <f t="shared" ref="U18:U36" si="12">(S18-R18)/S18</f>
        <v>0.163608031615804</v>
      </c>
      <c r="V18">
        <v>201.54</v>
      </c>
      <c r="W18">
        <v>223.7023</v>
      </c>
      <c r="X18">
        <v>2890.54</v>
      </c>
      <c r="Y18" s="6">
        <f t="shared" ref="Y18:Y36" si="13">(W18-V18)/W18</f>
        <v>0.0990705057569815</v>
      </c>
    </row>
    <row r="19" spans="1:25">
      <c r="A19" s="3" t="s">
        <v>122</v>
      </c>
      <c r="B19">
        <v>223.61</v>
      </c>
      <c r="C19" s="33">
        <v>225.414</v>
      </c>
      <c r="D19" s="33">
        <v>189.47</v>
      </c>
      <c r="E19" s="6">
        <f t="shared" si="8"/>
        <v>0.00800305216179995</v>
      </c>
      <c r="F19" s="33">
        <v>216.84</v>
      </c>
      <c r="G19">
        <v>227.4779</v>
      </c>
      <c r="H19">
        <v>2809.85</v>
      </c>
      <c r="I19" s="6">
        <f t="shared" si="9"/>
        <v>0.0467645428413046</v>
      </c>
      <c r="J19" s="33">
        <v>220.93</v>
      </c>
      <c r="K19">
        <v>227.4779</v>
      </c>
      <c r="L19" s="33">
        <v>2796.55</v>
      </c>
      <c r="M19" s="6">
        <f t="shared" si="10"/>
        <v>0.0287847742571916</v>
      </c>
      <c r="N19" s="10">
        <v>223.61</v>
      </c>
      <c r="O19" s="33">
        <v>225.414</v>
      </c>
      <c r="P19" s="33">
        <v>660.15</v>
      </c>
      <c r="Q19" s="6">
        <f t="shared" si="11"/>
        <v>0.00800305216179995</v>
      </c>
      <c r="R19" s="33">
        <v>221.38</v>
      </c>
      <c r="S19">
        <v>227.4779</v>
      </c>
      <c r="T19" s="33">
        <v>603.36</v>
      </c>
      <c r="U19" s="6">
        <f t="shared" si="12"/>
        <v>0.0268065601097953</v>
      </c>
      <c r="V19">
        <v>223.61</v>
      </c>
      <c r="W19">
        <v>227.4779</v>
      </c>
      <c r="X19" s="33">
        <v>1337.97</v>
      </c>
      <c r="Y19" s="6">
        <f t="shared" si="13"/>
        <v>0.0170034100015869</v>
      </c>
    </row>
    <row r="20" spans="1:25">
      <c r="A20" s="3" t="s">
        <v>123</v>
      </c>
      <c r="B20" s="24">
        <v>223.43</v>
      </c>
      <c r="C20" s="33">
        <v>226.98</v>
      </c>
      <c r="D20" s="33">
        <v>632.33</v>
      </c>
      <c r="E20" s="6">
        <f t="shared" si="8"/>
        <v>0.0156401445061238</v>
      </c>
      <c r="F20" s="33">
        <v>219.47</v>
      </c>
      <c r="G20">
        <v>227.4779</v>
      </c>
      <c r="H20">
        <v>2073.69</v>
      </c>
      <c r="I20" s="6">
        <f t="shared" si="9"/>
        <v>0.0352029801576329</v>
      </c>
      <c r="J20" s="33">
        <v>219.82</v>
      </c>
      <c r="K20">
        <v>227.4779</v>
      </c>
      <c r="L20" s="33">
        <v>2027.09</v>
      </c>
      <c r="M20" s="6">
        <f t="shared" si="10"/>
        <v>0.0336643691541025</v>
      </c>
      <c r="N20" s="14">
        <v>223.09</v>
      </c>
      <c r="O20" s="33">
        <v>226.98</v>
      </c>
      <c r="P20" s="33">
        <v>812.94</v>
      </c>
      <c r="Q20" s="6">
        <f t="shared" si="11"/>
        <v>0.0171380738391047</v>
      </c>
      <c r="R20" s="33">
        <v>222.88</v>
      </c>
      <c r="S20">
        <v>227.4779</v>
      </c>
      <c r="T20" s="33">
        <v>642.62</v>
      </c>
      <c r="U20" s="6">
        <f t="shared" si="12"/>
        <v>0.0202125129518077</v>
      </c>
      <c r="V20" s="1">
        <v>223.4301</v>
      </c>
      <c r="W20">
        <v>227.4779</v>
      </c>
      <c r="X20" s="33">
        <v>891.53</v>
      </c>
      <c r="Y20" s="6">
        <f t="shared" si="13"/>
        <v>0.0177942560574016</v>
      </c>
    </row>
    <row r="21" spans="1:25">
      <c r="A21" s="3" t="s">
        <v>124</v>
      </c>
      <c r="B21" s="33">
        <v>220.96</v>
      </c>
      <c r="C21" s="33">
        <v>227.071</v>
      </c>
      <c r="D21" s="33">
        <v>627.49</v>
      </c>
      <c r="E21" s="6">
        <f t="shared" si="8"/>
        <v>0.0269122873462485</v>
      </c>
      <c r="F21" s="33">
        <v>214.25</v>
      </c>
      <c r="G21">
        <v>227.4779</v>
      </c>
      <c r="H21">
        <v>2614.5</v>
      </c>
      <c r="I21" s="6">
        <f t="shared" si="9"/>
        <v>0.05815026426743</v>
      </c>
      <c r="J21" s="33">
        <v>218.66</v>
      </c>
      <c r="K21">
        <v>227.4779</v>
      </c>
      <c r="L21" s="33">
        <v>2603.36</v>
      </c>
      <c r="M21" s="6">
        <f t="shared" si="10"/>
        <v>0.0387637656229463</v>
      </c>
      <c r="N21" s="11">
        <v>220.96</v>
      </c>
      <c r="O21" s="33">
        <v>227.071</v>
      </c>
      <c r="P21" s="33">
        <v>1030.44</v>
      </c>
      <c r="Q21" s="6">
        <f t="shared" si="11"/>
        <v>0.0269122873462485</v>
      </c>
      <c r="R21" s="33">
        <v>219.44</v>
      </c>
      <c r="S21">
        <v>227.4779</v>
      </c>
      <c r="T21" s="33">
        <v>819.82</v>
      </c>
      <c r="U21" s="6">
        <f t="shared" si="12"/>
        <v>0.0353348611007927</v>
      </c>
      <c r="V21" s="33">
        <v>220.96</v>
      </c>
      <c r="W21">
        <v>227.4779</v>
      </c>
      <c r="X21" s="33">
        <v>1145.54</v>
      </c>
      <c r="Y21" s="6">
        <f t="shared" si="13"/>
        <v>0.0286528933140318</v>
      </c>
    </row>
    <row r="22" spans="1:25">
      <c r="A22" s="3" t="s">
        <v>125</v>
      </c>
      <c r="B22" s="24">
        <v>223.21</v>
      </c>
      <c r="C22" s="33">
        <v>227.382</v>
      </c>
      <c r="D22" s="33">
        <v>2403.27</v>
      </c>
      <c r="E22" s="6">
        <f t="shared" si="8"/>
        <v>0.0183479782920372</v>
      </c>
      <c r="F22" s="33">
        <v>221.34</v>
      </c>
      <c r="G22">
        <v>227.4779</v>
      </c>
      <c r="H22">
        <v>2584.03</v>
      </c>
      <c r="I22" s="6">
        <f t="shared" si="9"/>
        <v>0.0269824013673416</v>
      </c>
      <c r="J22" s="33">
        <v>221.57</v>
      </c>
      <c r="K22">
        <v>227.4779</v>
      </c>
      <c r="L22" s="33">
        <v>2576.9</v>
      </c>
      <c r="M22" s="6">
        <f t="shared" si="10"/>
        <v>0.0259713141364502</v>
      </c>
      <c r="N22" s="32">
        <v>223.21</v>
      </c>
      <c r="O22" s="33">
        <v>227.382</v>
      </c>
      <c r="P22" s="33">
        <v>2431.75</v>
      </c>
      <c r="Q22" s="6">
        <f t="shared" si="11"/>
        <v>0.0183479782920372</v>
      </c>
      <c r="R22" s="33">
        <v>223.15</v>
      </c>
      <c r="S22">
        <v>227.4779</v>
      </c>
      <c r="T22" s="33">
        <v>2416.82</v>
      </c>
      <c r="U22" s="6">
        <f t="shared" si="12"/>
        <v>0.0190255844633698</v>
      </c>
      <c r="V22" s="37">
        <v>223.21</v>
      </c>
      <c r="W22">
        <v>227.4779</v>
      </c>
      <c r="X22" s="33">
        <v>2444.49</v>
      </c>
      <c r="Y22" s="6">
        <f t="shared" si="13"/>
        <v>0.0187618225770503</v>
      </c>
    </row>
    <row r="23" s="3" customFormat="1" spans="1:25">
      <c r="A23" s="3" t="s">
        <v>126</v>
      </c>
      <c r="B23" s="3">
        <v>224.7226</v>
      </c>
      <c r="C23" s="24">
        <v>227.261</v>
      </c>
      <c r="D23" s="24">
        <v>1425.88</v>
      </c>
      <c r="E23" s="6">
        <f t="shared" si="8"/>
        <v>0.0111695363480755</v>
      </c>
      <c r="F23" s="33">
        <v>220.03</v>
      </c>
      <c r="G23" s="3">
        <v>227.4779</v>
      </c>
      <c r="H23" s="24">
        <v>2467.71</v>
      </c>
      <c r="I23" s="6">
        <f t="shared" si="9"/>
        <v>0.0327412025519842</v>
      </c>
      <c r="J23" s="33">
        <v>222.36</v>
      </c>
      <c r="K23" s="3">
        <v>227.4779</v>
      </c>
      <c r="L23" s="24">
        <v>2271.39</v>
      </c>
      <c r="M23" s="6">
        <f t="shared" si="10"/>
        <v>0.02249844929991</v>
      </c>
      <c r="N23" s="11">
        <v>224.72</v>
      </c>
      <c r="O23" s="24">
        <v>227.261</v>
      </c>
      <c r="P23" s="33">
        <v>1627.58</v>
      </c>
      <c r="Q23" s="6">
        <f t="shared" si="11"/>
        <v>0.01118097693841</v>
      </c>
      <c r="R23" s="33">
        <v>224.3</v>
      </c>
      <c r="S23" s="3">
        <v>227.4779</v>
      </c>
      <c r="T23" s="33">
        <v>1648.76</v>
      </c>
      <c r="U23" s="6">
        <f t="shared" si="12"/>
        <v>0.0139701483089126</v>
      </c>
      <c r="V23" s="24">
        <v>224.72</v>
      </c>
      <c r="W23" s="3">
        <v>227.4779</v>
      </c>
      <c r="X23" s="33">
        <v>1913.74</v>
      </c>
      <c r="Y23" s="6">
        <f t="shared" si="13"/>
        <v>0.0121238151046761</v>
      </c>
    </row>
    <row r="24" s="3" customFormat="1" spans="1:25">
      <c r="A24" s="3" t="s">
        <v>127</v>
      </c>
      <c r="B24" s="3">
        <v>223.1529</v>
      </c>
      <c r="C24" s="24">
        <v>226.412</v>
      </c>
      <c r="D24" s="24">
        <v>1172.31</v>
      </c>
      <c r="E24" s="6">
        <f t="shared" si="8"/>
        <v>0.0143945550589192</v>
      </c>
      <c r="F24" s="33">
        <v>221.07</v>
      </c>
      <c r="G24" s="3">
        <v>227.4779</v>
      </c>
      <c r="H24" s="3">
        <v>2984.8</v>
      </c>
      <c r="I24" s="6">
        <f t="shared" si="9"/>
        <v>0.0281693298557795</v>
      </c>
      <c r="J24" s="33">
        <v>221.31</v>
      </c>
      <c r="K24" s="3">
        <v>227.4779</v>
      </c>
      <c r="L24" s="24">
        <v>2969.9</v>
      </c>
      <c r="M24" s="6">
        <f t="shared" si="10"/>
        <v>0.0271142823105014</v>
      </c>
      <c r="N24" s="11">
        <v>223.15</v>
      </c>
      <c r="O24" s="24">
        <v>226.412</v>
      </c>
      <c r="P24" s="24">
        <v>1363.71</v>
      </c>
      <c r="Q24" s="6">
        <f t="shared" si="11"/>
        <v>0.0144073635673021</v>
      </c>
      <c r="R24" s="33">
        <v>222.99</v>
      </c>
      <c r="S24" s="3">
        <v>227.4779</v>
      </c>
      <c r="T24" s="33">
        <v>1583.23</v>
      </c>
      <c r="U24" s="6">
        <f t="shared" si="12"/>
        <v>0.0197289494935552</v>
      </c>
      <c r="V24" s="24">
        <v>223.15</v>
      </c>
      <c r="W24" s="3">
        <v>227.4779</v>
      </c>
      <c r="X24" s="33">
        <v>1517.12</v>
      </c>
      <c r="Y24" s="6">
        <f t="shared" si="13"/>
        <v>0.0190255844633698</v>
      </c>
    </row>
    <row r="25" s="3" customFormat="1" spans="1:25">
      <c r="A25" s="3" t="s">
        <v>128</v>
      </c>
      <c r="B25" s="3">
        <v>227.4779</v>
      </c>
      <c r="C25" s="24">
        <v>227.478</v>
      </c>
      <c r="D25" s="24">
        <v>727.96</v>
      </c>
      <c r="E25" s="6">
        <f t="shared" si="8"/>
        <v>4.39602950629598e-7</v>
      </c>
      <c r="F25" s="33">
        <v>220.6</v>
      </c>
      <c r="G25" s="3">
        <v>227.4779</v>
      </c>
      <c r="H25" s="3">
        <v>1302.77</v>
      </c>
      <c r="I25" s="6">
        <f t="shared" si="9"/>
        <v>0.0302354646319489</v>
      </c>
      <c r="J25" s="33">
        <v>221.35</v>
      </c>
      <c r="K25" s="3">
        <v>227.4779</v>
      </c>
      <c r="L25" s="24">
        <v>1301.67</v>
      </c>
      <c r="M25" s="6">
        <f t="shared" si="10"/>
        <v>0.0269384410529551</v>
      </c>
      <c r="N25" s="11">
        <v>227.48</v>
      </c>
      <c r="O25" s="24">
        <v>227.478</v>
      </c>
      <c r="P25" s="24">
        <v>827.86</v>
      </c>
      <c r="Q25" s="6">
        <f t="shared" si="11"/>
        <v>-8.79205901221713e-6</v>
      </c>
      <c r="R25" s="33">
        <v>227.23</v>
      </c>
      <c r="S25" s="3">
        <v>227.4779</v>
      </c>
      <c r="T25" s="33">
        <v>936.85</v>
      </c>
      <c r="U25" s="6">
        <f t="shared" si="12"/>
        <v>0.00108977619364349</v>
      </c>
      <c r="V25" s="24">
        <v>227.48</v>
      </c>
      <c r="W25" s="3">
        <v>227.4779</v>
      </c>
      <c r="X25" s="33">
        <v>1011.62</v>
      </c>
      <c r="Y25" s="6">
        <f t="shared" si="13"/>
        <v>-9.23166602111435e-6</v>
      </c>
    </row>
    <row r="26" spans="1:25">
      <c r="A26" s="3" t="s">
        <v>129</v>
      </c>
      <c r="B26">
        <v>227.4779</v>
      </c>
      <c r="C26" s="33">
        <v>227.478</v>
      </c>
      <c r="D26" s="33">
        <v>195.45</v>
      </c>
      <c r="E26" s="6">
        <f t="shared" si="8"/>
        <v>4.39602950629598e-7</v>
      </c>
      <c r="F26" s="33">
        <v>221.48</v>
      </c>
      <c r="G26">
        <v>227.4779</v>
      </c>
      <c r="H26">
        <v>1067.42</v>
      </c>
      <c r="I26" s="6">
        <f t="shared" si="9"/>
        <v>0.0263669569659295</v>
      </c>
      <c r="J26" s="33">
        <v>221.55</v>
      </c>
      <c r="K26">
        <v>227.4779</v>
      </c>
      <c r="L26" s="33">
        <v>1053.32</v>
      </c>
      <c r="M26" s="6">
        <f t="shared" si="10"/>
        <v>0.0260592347652233</v>
      </c>
      <c r="N26" s="11">
        <v>227.48</v>
      </c>
      <c r="O26" s="33">
        <v>227.478</v>
      </c>
      <c r="P26" s="33">
        <v>403.95</v>
      </c>
      <c r="Q26" s="6">
        <f t="shared" si="11"/>
        <v>-8.79205901221713e-6</v>
      </c>
      <c r="R26" s="33">
        <v>227.48</v>
      </c>
      <c r="S26">
        <v>227.4779</v>
      </c>
      <c r="T26" s="33">
        <v>437.01</v>
      </c>
      <c r="U26" s="6">
        <f t="shared" si="12"/>
        <v>-9.23166602111435e-6</v>
      </c>
      <c r="V26" s="33">
        <v>227.48</v>
      </c>
      <c r="W26">
        <v>227.4779</v>
      </c>
      <c r="X26" s="33">
        <v>521.37</v>
      </c>
      <c r="Y26" s="6">
        <f t="shared" si="13"/>
        <v>-9.23166602111435e-6</v>
      </c>
    </row>
    <row r="27" spans="1:25">
      <c r="A27" s="3" t="s">
        <v>130</v>
      </c>
      <c r="B27">
        <v>223.3512</v>
      </c>
      <c r="C27" s="33">
        <v>227.478</v>
      </c>
      <c r="D27" s="33">
        <v>2679.71</v>
      </c>
      <c r="E27" s="6">
        <f t="shared" si="8"/>
        <v>0.01814153456598</v>
      </c>
      <c r="F27" s="33">
        <v>221.19</v>
      </c>
      <c r="G27">
        <v>227.4779</v>
      </c>
      <c r="H27">
        <v>3600</v>
      </c>
      <c r="I27" s="6">
        <f t="shared" si="9"/>
        <v>0.0276418060831404</v>
      </c>
      <c r="J27" s="33">
        <v>222.21</v>
      </c>
      <c r="K27">
        <v>227.4779</v>
      </c>
      <c r="L27">
        <v>3600</v>
      </c>
      <c r="M27" s="6">
        <f t="shared" si="10"/>
        <v>0.0231578540157088</v>
      </c>
      <c r="N27" s="11">
        <v>223.35</v>
      </c>
      <c r="O27" s="33">
        <v>227.478</v>
      </c>
      <c r="P27" s="33">
        <v>2714.55</v>
      </c>
      <c r="Q27" s="6">
        <f t="shared" si="11"/>
        <v>0.0181468098013874</v>
      </c>
      <c r="R27" s="33">
        <v>223.28</v>
      </c>
      <c r="S27">
        <v>227.4779</v>
      </c>
      <c r="T27" s="33">
        <v>2683.67</v>
      </c>
      <c r="U27" s="6">
        <f t="shared" si="12"/>
        <v>0.0184541003763443</v>
      </c>
      <c r="V27" s="33">
        <v>223.35</v>
      </c>
      <c r="W27">
        <v>227.4779</v>
      </c>
      <c r="X27" s="33">
        <v>3055.03</v>
      </c>
      <c r="Y27" s="6">
        <f t="shared" si="13"/>
        <v>0.0181463781756382</v>
      </c>
    </row>
    <row r="28" spans="1:25">
      <c r="A28" s="3" t="s">
        <v>131</v>
      </c>
      <c r="B28">
        <v>227.4779</v>
      </c>
      <c r="C28" s="33">
        <v>227.478</v>
      </c>
      <c r="D28" s="33">
        <v>3125.58</v>
      </c>
      <c r="E28" s="6">
        <f t="shared" si="8"/>
        <v>4.39602950629598e-7</v>
      </c>
      <c r="F28" s="33">
        <v>223.6</v>
      </c>
      <c r="G28">
        <v>227.4779</v>
      </c>
      <c r="H28">
        <v>3600</v>
      </c>
      <c r="I28" s="6">
        <f t="shared" si="9"/>
        <v>0.0170473703159736</v>
      </c>
      <c r="J28" s="33">
        <v>226.39</v>
      </c>
      <c r="K28">
        <v>227.4779</v>
      </c>
      <c r="L28">
        <v>3600</v>
      </c>
      <c r="M28" s="6">
        <f t="shared" si="10"/>
        <v>0.0047824426021166</v>
      </c>
      <c r="N28" s="11">
        <v>227.48</v>
      </c>
      <c r="O28" s="33">
        <v>227.478</v>
      </c>
      <c r="P28" s="33">
        <v>3190.34</v>
      </c>
      <c r="Q28" s="6">
        <f t="shared" si="11"/>
        <v>-8.79205901221713e-6</v>
      </c>
      <c r="R28" s="33">
        <v>226.76</v>
      </c>
      <c r="S28">
        <v>227.4779</v>
      </c>
      <c r="T28" s="33">
        <v>3309.53</v>
      </c>
      <c r="U28" s="6">
        <f t="shared" si="12"/>
        <v>0.00315591096981295</v>
      </c>
      <c r="V28" s="33">
        <v>227.48</v>
      </c>
      <c r="W28">
        <v>227.4779</v>
      </c>
      <c r="X28" s="33">
        <v>3269.75</v>
      </c>
      <c r="Y28" s="6">
        <f t="shared" si="13"/>
        <v>-9.23166602111435e-6</v>
      </c>
    </row>
    <row r="29" spans="1:25">
      <c r="A29" s="3" t="s">
        <v>132</v>
      </c>
      <c r="B29">
        <v>227.4779</v>
      </c>
      <c r="C29" s="33">
        <v>227.478</v>
      </c>
      <c r="D29" s="33">
        <v>484.51</v>
      </c>
      <c r="E29" s="6">
        <f t="shared" si="8"/>
        <v>4.39602950629598e-7</v>
      </c>
      <c r="F29" s="33">
        <v>224.44</v>
      </c>
      <c r="G29">
        <v>227.4779</v>
      </c>
      <c r="H29">
        <v>3600</v>
      </c>
      <c r="I29" s="6">
        <f t="shared" si="9"/>
        <v>0.0133547039075005</v>
      </c>
      <c r="J29" s="33">
        <v>225.02</v>
      </c>
      <c r="K29">
        <v>227.4779</v>
      </c>
      <c r="L29">
        <v>3600</v>
      </c>
      <c r="M29" s="6">
        <f t="shared" si="10"/>
        <v>0.0108050056730785</v>
      </c>
      <c r="N29" s="11">
        <v>227.48</v>
      </c>
      <c r="O29" s="33">
        <v>227.478</v>
      </c>
      <c r="P29" s="33">
        <v>554.92</v>
      </c>
      <c r="Q29" s="6">
        <f t="shared" si="11"/>
        <v>-8.79205901221713e-6</v>
      </c>
      <c r="R29" s="33">
        <v>227.41</v>
      </c>
      <c r="S29">
        <v>227.4779</v>
      </c>
      <c r="T29" s="33">
        <v>912.56</v>
      </c>
      <c r="U29" s="6">
        <f t="shared" si="12"/>
        <v>0.000298490534684946</v>
      </c>
      <c r="V29" s="33">
        <v>227.48</v>
      </c>
      <c r="W29">
        <v>227.4779</v>
      </c>
      <c r="X29" s="33">
        <v>1087.74</v>
      </c>
      <c r="Y29" s="6">
        <f t="shared" si="13"/>
        <v>-9.23166602111435e-6</v>
      </c>
    </row>
    <row r="30" spans="1:25">
      <c r="A30" s="3" t="s">
        <v>23</v>
      </c>
      <c r="B30">
        <f>AVERAGE(B18:B29)</f>
        <v>223.611525</v>
      </c>
      <c r="C30">
        <f t="shared" ref="C30:Y30" si="14">AVERAGE(C18:C29)</f>
        <v>226.800583333333</v>
      </c>
      <c r="D30">
        <f t="shared" si="14"/>
        <v>1328.53833333333</v>
      </c>
      <c r="E30" s="6">
        <f t="shared" si="14"/>
        <v>0.0141179469595903</v>
      </c>
      <c r="F30">
        <f t="shared" si="14"/>
        <v>217.168583333333</v>
      </c>
      <c r="G30">
        <f t="shared" si="14"/>
        <v>227.164258333333</v>
      </c>
      <c r="H30">
        <f t="shared" si="14"/>
        <v>2692.06416666667</v>
      </c>
      <c r="I30" s="6">
        <f t="shared" si="14"/>
        <v>0.0442001602054237</v>
      </c>
      <c r="J30">
        <f t="shared" si="14"/>
        <v>218.63475</v>
      </c>
      <c r="K30">
        <f t="shared" si="14"/>
        <v>227.164258333333</v>
      </c>
      <c r="L30">
        <f t="shared" si="14"/>
        <v>2666.68166666667</v>
      </c>
      <c r="M30" s="6">
        <f t="shared" si="14"/>
        <v>0.0377503217105356</v>
      </c>
      <c r="N30">
        <f t="shared" si="14"/>
        <v>223.427666666667</v>
      </c>
      <c r="O30">
        <f t="shared" si="14"/>
        <v>226.800766666667</v>
      </c>
      <c r="P30">
        <f t="shared" si="14"/>
        <v>1558.635</v>
      </c>
      <c r="Q30" s="6">
        <f t="shared" si="14"/>
        <v>0.0149388054799637</v>
      </c>
      <c r="R30">
        <f t="shared" si="14"/>
        <v>221.1175</v>
      </c>
      <c r="S30">
        <f t="shared" si="14"/>
        <v>227.163983333333</v>
      </c>
      <c r="T30">
        <f t="shared" si="14"/>
        <v>1624.83416666667</v>
      </c>
      <c r="U30" s="6">
        <f t="shared" si="14"/>
        <v>0.0268063078710418</v>
      </c>
      <c r="V30">
        <f t="shared" si="14"/>
        <v>222.824175</v>
      </c>
      <c r="W30">
        <f t="shared" si="14"/>
        <v>227.163266666667</v>
      </c>
      <c r="X30">
        <f t="shared" si="14"/>
        <v>1757.20333333333</v>
      </c>
      <c r="Y30" s="6">
        <f t="shared" si="14"/>
        <v>0.0192118115655543</v>
      </c>
    </row>
    <row r="31" spans="1:25">
      <c r="A31" s="3"/>
      <c r="E31" s="6"/>
      <c r="I31" s="6"/>
      <c r="M31" s="6"/>
      <c r="Q31" s="6"/>
      <c r="U31" s="6"/>
      <c r="Y31" s="6"/>
    </row>
    <row r="32" spans="1:25">
      <c r="A32" s="3"/>
      <c r="E32" s="6"/>
      <c r="I32" s="6"/>
      <c r="M32" s="6"/>
      <c r="Q32" s="6"/>
      <c r="U32" s="6"/>
      <c r="Y32" s="6"/>
    </row>
    <row r="33" s="10" customFormat="1" spans="1:25">
      <c r="A33" s="10" t="s">
        <v>133</v>
      </c>
      <c r="B33" s="10">
        <v>169.37</v>
      </c>
      <c r="C33" s="11">
        <v>188.343</v>
      </c>
      <c r="D33" s="11">
        <v>1285.63</v>
      </c>
      <c r="E33" s="49">
        <f t="shared" ref="E33:E45" si="15">(C33-B33)/C33</f>
        <v>0.10073642237832</v>
      </c>
      <c r="F33" s="10">
        <v>157.64</v>
      </c>
      <c r="G33" s="10">
        <v>198.78</v>
      </c>
      <c r="H33" s="10">
        <v>3600</v>
      </c>
      <c r="I33" s="49">
        <f t="shared" ref="I33:I45" si="16">(G33-F33)/G33</f>
        <v>0.206962471073549</v>
      </c>
      <c r="J33" s="11">
        <v>160.34</v>
      </c>
      <c r="K33" s="10">
        <v>198.78</v>
      </c>
      <c r="L33" s="10">
        <v>3600</v>
      </c>
      <c r="M33" s="49">
        <f t="shared" ref="M33:M45" si="17">(K33-J33)/K33</f>
        <v>0.193379615655499</v>
      </c>
      <c r="N33" s="11">
        <v>166.38</v>
      </c>
      <c r="O33" s="11">
        <v>191.13</v>
      </c>
      <c r="P33" s="11">
        <v>1748.67</v>
      </c>
      <c r="Q33" s="49">
        <f t="shared" ref="Q33:Q45" si="18">(O33-N33)/O33</f>
        <v>0.129493015225239</v>
      </c>
      <c r="R33" s="11">
        <v>158.2</v>
      </c>
      <c r="S33" s="10">
        <v>198.78</v>
      </c>
      <c r="T33" s="11">
        <v>1835.64</v>
      </c>
      <c r="U33" s="49">
        <f t="shared" ref="U33:U45" si="19">(S33-R33)/S33</f>
        <v>0.204145286246101</v>
      </c>
      <c r="V33" s="11">
        <v>162.84</v>
      </c>
      <c r="W33" s="11">
        <v>191.81</v>
      </c>
      <c r="X33" s="11">
        <v>1500.16</v>
      </c>
      <c r="Y33" s="49">
        <f t="shared" ref="Y33:Y45" si="20">(W33-V33)/W33</f>
        <v>0.15103487826495</v>
      </c>
    </row>
    <row r="34" s="10" customFormat="1" spans="1:25">
      <c r="A34" s="10" t="s">
        <v>134</v>
      </c>
      <c r="B34" s="10">
        <v>189.41</v>
      </c>
      <c r="C34" s="11">
        <v>200.07</v>
      </c>
      <c r="D34" s="11">
        <v>3533.97</v>
      </c>
      <c r="E34" s="49">
        <f t="shared" si="15"/>
        <v>0.0532813515269655</v>
      </c>
      <c r="F34" s="10">
        <v>184.04</v>
      </c>
      <c r="G34" s="10">
        <v>204.472</v>
      </c>
      <c r="H34" s="10">
        <v>3600</v>
      </c>
      <c r="I34" s="49">
        <f t="shared" si="16"/>
        <v>0.0999256621933566</v>
      </c>
      <c r="J34" s="10">
        <v>186.74</v>
      </c>
      <c r="K34" s="10">
        <v>204.472</v>
      </c>
      <c r="L34" s="10">
        <v>3600</v>
      </c>
      <c r="M34" s="49">
        <f t="shared" si="17"/>
        <v>0.0867209202237959</v>
      </c>
      <c r="N34" s="11">
        <v>189.03</v>
      </c>
      <c r="O34" s="11">
        <v>201.09</v>
      </c>
      <c r="P34" s="11">
        <v>3538.95</v>
      </c>
      <c r="Q34" s="49">
        <f t="shared" si="18"/>
        <v>0.0599731463523795</v>
      </c>
      <c r="R34" s="11">
        <v>184.4</v>
      </c>
      <c r="S34" s="10">
        <v>204.472</v>
      </c>
      <c r="T34" s="11">
        <v>3565.25</v>
      </c>
      <c r="U34" s="49">
        <f t="shared" si="19"/>
        <v>0.0981650299307485</v>
      </c>
      <c r="V34" s="11">
        <v>188.43</v>
      </c>
      <c r="W34" s="11">
        <v>201.6</v>
      </c>
      <c r="X34" s="11">
        <v>3537.75</v>
      </c>
      <c r="Y34" s="49">
        <f t="shared" si="20"/>
        <v>0.0653273809523809</v>
      </c>
    </row>
    <row r="35" s="10" customFormat="1" spans="1:25">
      <c r="A35" s="10" t="s">
        <v>135</v>
      </c>
      <c r="B35" s="10">
        <v>196.9</v>
      </c>
      <c r="C35" s="11">
        <v>198.356</v>
      </c>
      <c r="D35" s="11">
        <v>1949.92</v>
      </c>
      <c r="E35" s="49">
        <f t="shared" si="15"/>
        <v>0.00734033757486534</v>
      </c>
      <c r="F35" s="10">
        <v>190.308</v>
      </c>
      <c r="G35" s="10">
        <v>204.462</v>
      </c>
      <c r="H35" s="10">
        <v>3600</v>
      </c>
      <c r="I35" s="49">
        <f t="shared" si="16"/>
        <v>0.0692255773688998</v>
      </c>
      <c r="J35" s="11">
        <v>191.1</v>
      </c>
      <c r="K35" s="10">
        <v>204.462</v>
      </c>
      <c r="L35" s="10">
        <v>3600</v>
      </c>
      <c r="M35" s="49">
        <f t="shared" si="17"/>
        <v>0.0653519969480881</v>
      </c>
      <c r="N35" s="11">
        <v>195.21</v>
      </c>
      <c r="O35" s="11">
        <v>199.58</v>
      </c>
      <c r="P35" s="11">
        <v>2288.72</v>
      </c>
      <c r="Q35" s="49">
        <f t="shared" si="18"/>
        <v>0.0218959815612787</v>
      </c>
      <c r="R35" s="11">
        <v>190.45</v>
      </c>
      <c r="S35" s="10">
        <v>204.462</v>
      </c>
      <c r="T35" s="11">
        <v>2944.69</v>
      </c>
      <c r="U35" s="49">
        <f t="shared" si="19"/>
        <v>0.0685310717884008</v>
      </c>
      <c r="V35" s="11">
        <v>191.54</v>
      </c>
      <c r="W35" s="11">
        <v>200.99</v>
      </c>
      <c r="X35" s="11">
        <v>2038.86</v>
      </c>
      <c r="Y35" s="49">
        <f t="shared" si="20"/>
        <v>0.0470172645405245</v>
      </c>
    </row>
    <row r="36" s="14" customFormat="1" spans="1:25">
      <c r="A36" s="14" t="s">
        <v>136</v>
      </c>
      <c r="B36" s="14">
        <v>196.8</v>
      </c>
      <c r="C36" s="11">
        <v>198.953</v>
      </c>
      <c r="D36" s="11">
        <v>1950.04</v>
      </c>
      <c r="E36" s="49">
        <f t="shared" si="15"/>
        <v>0.0108216513447899</v>
      </c>
      <c r="F36" s="14">
        <v>192.51</v>
      </c>
      <c r="G36" s="14">
        <v>205.589</v>
      </c>
      <c r="H36" s="10">
        <v>3600</v>
      </c>
      <c r="I36" s="49">
        <f t="shared" si="16"/>
        <v>0.0636172168744437</v>
      </c>
      <c r="J36" s="32">
        <v>194.01</v>
      </c>
      <c r="K36" s="14">
        <v>205.589</v>
      </c>
      <c r="L36" s="10">
        <v>3600</v>
      </c>
      <c r="M36" s="49">
        <f t="shared" si="17"/>
        <v>0.0563211066739952</v>
      </c>
      <c r="N36" s="11">
        <v>194.58</v>
      </c>
      <c r="O36" s="11">
        <v>198.98</v>
      </c>
      <c r="P36" s="32">
        <v>2528.94</v>
      </c>
      <c r="Q36" s="49">
        <f t="shared" si="18"/>
        <v>0.0221127751532816</v>
      </c>
      <c r="R36" s="11">
        <v>192.59</v>
      </c>
      <c r="S36" s="14">
        <v>205.589</v>
      </c>
      <c r="T36" s="32">
        <v>2454.63</v>
      </c>
      <c r="U36" s="49">
        <f t="shared" si="19"/>
        <v>0.0632280909970864</v>
      </c>
      <c r="V36" s="32">
        <v>194.05</v>
      </c>
      <c r="W36" s="11">
        <v>202.64</v>
      </c>
      <c r="X36" s="11">
        <v>2312.7</v>
      </c>
      <c r="Y36" s="49">
        <f t="shared" si="20"/>
        <v>0.0423904461113303</v>
      </c>
    </row>
    <row r="37" s="10" customFormat="1" spans="1:25">
      <c r="A37" s="10" t="s">
        <v>137</v>
      </c>
      <c r="B37" s="10">
        <v>197.3</v>
      </c>
      <c r="C37" s="14">
        <v>203.82</v>
      </c>
      <c r="D37" s="11">
        <v>2747.32</v>
      </c>
      <c r="E37" s="49">
        <f t="shared" si="15"/>
        <v>0.0319890099107054</v>
      </c>
      <c r="F37" s="10">
        <v>191.8713</v>
      </c>
      <c r="G37" s="14">
        <v>205.589</v>
      </c>
      <c r="H37" s="10">
        <v>3600</v>
      </c>
      <c r="I37" s="49">
        <f t="shared" si="16"/>
        <v>0.0667239005977947</v>
      </c>
      <c r="J37" s="11">
        <v>194.93</v>
      </c>
      <c r="K37" s="14">
        <v>205.589</v>
      </c>
      <c r="L37" s="10">
        <v>3600</v>
      </c>
      <c r="M37" s="49">
        <f t="shared" si="17"/>
        <v>0.0518461590843868</v>
      </c>
      <c r="N37" s="11">
        <v>195.67</v>
      </c>
      <c r="O37" s="11">
        <v>204.01</v>
      </c>
      <c r="P37" s="11">
        <v>2873.08</v>
      </c>
      <c r="Q37" s="49">
        <f t="shared" si="18"/>
        <v>0.0408803490024999</v>
      </c>
      <c r="R37" s="11">
        <v>192.98</v>
      </c>
      <c r="S37" s="14">
        <v>205.589</v>
      </c>
      <c r="T37" s="11">
        <v>2890.13</v>
      </c>
      <c r="U37" s="49">
        <f t="shared" si="19"/>
        <v>0.0613311023449699</v>
      </c>
      <c r="V37" s="11">
        <v>196.37</v>
      </c>
      <c r="W37" s="11">
        <v>204.91</v>
      </c>
      <c r="X37" s="11">
        <v>2844.42</v>
      </c>
      <c r="Y37" s="49">
        <f t="shared" si="20"/>
        <v>0.0416768337318823</v>
      </c>
    </row>
    <row r="38" s="10" customFormat="1" spans="1:25">
      <c r="A38" s="10" t="s">
        <v>138</v>
      </c>
      <c r="B38" s="10">
        <v>200.16</v>
      </c>
      <c r="C38" s="11">
        <v>201.323</v>
      </c>
      <c r="D38" s="11">
        <v>3374.11</v>
      </c>
      <c r="E38" s="49">
        <f t="shared" si="15"/>
        <v>0.00577678655692599</v>
      </c>
      <c r="F38" s="10">
        <v>197.2638</v>
      </c>
      <c r="G38" s="14">
        <v>205.589</v>
      </c>
      <c r="H38" s="10">
        <v>3600</v>
      </c>
      <c r="I38" s="49">
        <f t="shared" si="16"/>
        <v>0.0404943844271824</v>
      </c>
      <c r="J38" s="11">
        <v>197.36</v>
      </c>
      <c r="K38" s="14">
        <v>205.589</v>
      </c>
      <c r="L38" s="10">
        <v>3600</v>
      </c>
      <c r="M38" s="49">
        <f t="shared" si="17"/>
        <v>0.0400264605596602</v>
      </c>
      <c r="N38" s="11">
        <v>199.91</v>
      </c>
      <c r="O38" s="11">
        <v>201.47</v>
      </c>
      <c r="P38" s="11">
        <v>3416.85</v>
      </c>
      <c r="Q38" s="49">
        <f t="shared" si="18"/>
        <v>0.00774308830098775</v>
      </c>
      <c r="R38" s="11">
        <v>197.28</v>
      </c>
      <c r="S38" s="14">
        <v>205.589</v>
      </c>
      <c r="T38" s="11">
        <v>3441.61</v>
      </c>
      <c r="U38" s="49">
        <f t="shared" si="19"/>
        <v>0.0404155864370175</v>
      </c>
      <c r="V38" s="11">
        <v>198.3</v>
      </c>
      <c r="W38" s="11">
        <v>202.61</v>
      </c>
      <c r="X38" s="11">
        <v>3375.64</v>
      </c>
      <c r="Y38" s="49">
        <f t="shared" si="20"/>
        <v>0.0212723952420907</v>
      </c>
    </row>
    <row r="39" s="10" customFormat="1" spans="1:25">
      <c r="A39" s="10" t="s">
        <v>139</v>
      </c>
      <c r="B39" s="10">
        <v>201.1</v>
      </c>
      <c r="C39" s="11">
        <v>203.158</v>
      </c>
      <c r="D39" s="11">
        <v>2070.93</v>
      </c>
      <c r="E39" s="49">
        <f t="shared" si="15"/>
        <v>0.0101300465647427</v>
      </c>
      <c r="F39" s="10">
        <v>198.243</v>
      </c>
      <c r="G39" s="14">
        <v>205.589</v>
      </c>
      <c r="H39" s="10">
        <v>3600</v>
      </c>
      <c r="I39" s="49">
        <f t="shared" si="16"/>
        <v>0.0357314836883296</v>
      </c>
      <c r="J39" s="11">
        <v>198.63</v>
      </c>
      <c r="K39" s="14">
        <v>205.589</v>
      </c>
      <c r="L39" s="10">
        <v>3600</v>
      </c>
      <c r="M39" s="49">
        <f t="shared" si="17"/>
        <v>0.0338490872566139</v>
      </c>
      <c r="N39" s="11">
        <v>200.28</v>
      </c>
      <c r="O39" s="11">
        <v>203.81</v>
      </c>
      <c r="P39" s="11">
        <v>1835.59</v>
      </c>
      <c r="Q39" s="49">
        <f t="shared" si="18"/>
        <v>0.0173200529905304</v>
      </c>
      <c r="R39" s="11">
        <v>198.35</v>
      </c>
      <c r="S39" s="14">
        <v>205.589</v>
      </c>
      <c r="T39" s="11">
        <v>2190.81</v>
      </c>
      <c r="U39" s="49">
        <f t="shared" si="19"/>
        <v>0.0352110278273643</v>
      </c>
      <c r="V39" s="11">
        <v>198.86</v>
      </c>
      <c r="W39" s="11">
        <v>203.83</v>
      </c>
      <c r="X39" s="11">
        <v>1560.09</v>
      </c>
      <c r="Y39" s="49">
        <f t="shared" si="20"/>
        <v>0.0243830643183045</v>
      </c>
    </row>
    <row r="40" s="10" customFormat="1" spans="1:25">
      <c r="A40" s="10" t="s">
        <v>140</v>
      </c>
      <c r="B40" s="10">
        <v>202.05</v>
      </c>
      <c r="C40" s="11">
        <v>205.166</v>
      </c>
      <c r="D40" s="11">
        <v>3757.92</v>
      </c>
      <c r="E40" s="49">
        <f t="shared" si="15"/>
        <v>0.015187701665968</v>
      </c>
      <c r="F40" s="10">
        <v>199.547</v>
      </c>
      <c r="G40" s="14">
        <v>205.589</v>
      </c>
      <c r="H40" s="10">
        <v>3600</v>
      </c>
      <c r="I40" s="49">
        <f t="shared" si="16"/>
        <v>0.0293887318874064</v>
      </c>
      <c r="J40" s="11">
        <v>200.13</v>
      </c>
      <c r="K40" s="14">
        <v>205.589</v>
      </c>
      <c r="L40" s="10">
        <v>3600</v>
      </c>
      <c r="M40" s="49">
        <f t="shared" si="17"/>
        <v>0.0265529770561655</v>
      </c>
      <c r="N40" s="11">
        <v>200.8</v>
      </c>
      <c r="O40" s="11">
        <v>205.23</v>
      </c>
      <c r="P40" s="11">
        <v>3731.27</v>
      </c>
      <c r="Q40" s="49">
        <f t="shared" si="18"/>
        <v>0.0215855381766797</v>
      </c>
      <c r="R40" s="11">
        <v>199.56</v>
      </c>
      <c r="S40" s="14">
        <v>205.589</v>
      </c>
      <c r="T40" s="11">
        <v>3644.02</v>
      </c>
      <c r="U40" s="49">
        <f t="shared" si="19"/>
        <v>0.0293254989323359</v>
      </c>
      <c r="V40" s="11">
        <v>200.4</v>
      </c>
      <c r="W40" s="11">
        <v>205.48</v>
      </c>
      <c r="X40" s="11">
        <v>3743.27</v>
      </c>
      <c r="Y40" s="49">
        <f t="shared" si="20"/>
        <v>0.0247226007397313</v>
      </c>
    </row>
    <row r="41" s="10" customFormat="1" spans="1:25">
      <c r="A41" s="10" t="s">
        <v>141</v>
      </c>
      <c r="B41" s="10">
        <v>201.78</v>
      </c>
      <c r="C41" s="11">
        <v>204.388</v>
      </c>
      <c r="D41" s="11">
        <v>2718.17</v>
      </c>
      <c r="E41" s="49">
        <f t="shared" si="15"/>
        <v>0.012760044621015</v>
      </c>
      <c r="F41" s="10">
        <v>182.1505</v>
      </c>
      <c r="G41" s="14">
        <v>205.589</v>
      </c>
      <c r="H41" s="10">
        <v>3600</v>
      </c>
      <c r="I41" s="49">
        <f t="shared" si="16"/>
        <v>0.114006585955474</v>
      </c>
      <c r="J41" s="11">
        <v>187.88</v>
      </c>
      <c r="K41" s="14">
        <v>205.589</v>
      </c>
      <c r="L41" s="10">
        <v>3600</v>
      </c>
      <c r="M41" s="49">
        <f t="shared" si="17"/>
        <v>0.0861378770264946</v>
      </c>
      <c r="N41" s="11">
        <v>196.57</v>
      </c>
      <c r="O41" s="11">
        <v>204.4</v>
      </c>
      <c r="P41" s="11">
        <v>2834.5</v>
      </c>
      <c r="Q41" s="49">
        <f t="shared" si="18"/>
        <v>0.038307240704501</v>
      </c>
      <c r="R41" s="11">
        <v>182.32</v>
      </c>
      <c r="S41" s="14">
        <v>205.589</v>
      </c>
      <c r="T41" s="11">
        <v>2901.62</v>
      </c>
      <c r="U41" s="49">
        <f t="shared" si="19"/>
        <v>0.113182125502824</v>
      </c>
      <c r="V41" s="11">
        <v>192.33</v>
      </c>
      <c r="W41" s="11">
        <v>205.25</v>
      </c>
      <c r="X41" s="11">
        <v>2783.9</v>
      </c>
      <c r="Y41" s="49">
        <f t="shared" si="20"/>
        <v>0.0629476248477466</v>
      </c>
    </row>
    <row r="42" s="10" customFormat="1" spans="1:25">
      <c r="A42" s="10" t="s">
        <v>142</v>
      </c>
      <c r="B42" s="10">
        <v>203.79</v>
      </c>
      <c r="C42" s="11">
        <v>204.588</v>
      </c>
      <c r="D42" s="11">
        <v>1155.5</v>
      </c>
      <c r="E42" s="49">
        <f t="shared" si="15"/>
        <v>0.00390052202475219</v>
      </c>
      <c r="F42" s="10">
        <v>183.6335</v>
      </c>
      <c r="G42" s="14">
        <v>205.589</v>
      </c>
      <c r="H42" s="10">
        <v>3600</v>
      </c>
      <c r="I42" s="49">
        <f t="shared" si="16"/>
        <v>0.106793165003964</v>
      </c>
      <c r="J42" s="11">
        <v>190.03</v>
      </c>
      <c r="K42" s="14">
        <v>205.589</v>
      </c>
      <c r="L42" s="10">
        <v>3600</v>
      </c>
      <c r="M42" s="49">
        <f t="shared" si="17"/>
        <v>0.0756801190725185</v>
      </c>
      <c r="N42" s="11">
        <v>196.66</v>
      </c>
      <c r="O42" s="11">
        <v>204.84</v>
      </c>
      <c r="P42" s="11">
        <v>1277.33</v>
      </c>
      <c r="Q42" s="49">
        <f t="shared" si="18"/>
        <v>0.039933606717438</v>
      </c>
      <c r="R42" s="11">
        <v>183.74</v>
      </c>
      <c r="S42" s="14">
        <v>205.589</v>
      </c>
      <c r="T42" s="11">
        <v>1964.26</v>
      </c>
      <c r="U42" s="49">
        <f t="shared" si="19"/>
        <v>0.106275141179732</v>
      </c>
      <c r="V42" s="11">
        <v>191.65</v>
      </c>
      <c r="W42" s="11">
        <v>205.44</v>
      </c>
      <c r="X42" s="11">
        <v>1200.66</v>
      </c>
      <c r="Y42" s="49">
        <f t="shared" si="20"/>
        <v>0.0671242211838006</v>
      </c>
    </row>
    <row r="43" s="10" customFormat="1" spans="1:25">
      <c r="A43" s="10" t="s">
        <v>143</v>
      </c>
      <c r="B43" s="10">
        <v>204.85</v>
      </c>
      <c r="C43" s="11">
        <v>205.033</v>
      </c>
      <c r="D43" s="11">
        <v>1510.47</v>
      </c>
      <c r="E43" s="49">
        <f t="shared" si="15"/>
        <v>0.000892539249779268</v>
      </c>
      <c r="F43" s="10">
        <v>204.85</v>
      </c>
      <c r="G43" s="14">
        <v>205.589</v>
      </c>
      <c r="H43" s="10">
        <v>3600</v>
      </c>
      <c r="I43" s="49">
        <f t="shared" si="16"/>
        <v>0.00359455029208763</v>
      </c>
      <c r="J43" s="10">
        <v>204.85</v>
      </c>
      <c r="K43" s="14">
        <v>205.589</v>
      </c>
      <c r="L43" s="10">
        <v>3600</v>
      </c>
      <c r="M43" s="49">
        <f t="shared" si="17"/>
        <v>0.00359455029208763</v>
      </c>
      <c r="N43" s="11">
        <v>204.85</v>
      </c>
      <c r="O43" s="11">
        <v>205.09</v>
      </c>
      <c r="P43" s="11">
        <v>1730.47</v>
      </c>
      <c r="Q43" s="49">
        <f t="shared" si="18"/>
        <v>0.00117021795309381</v>
      </c>
      <c r="R43" s="11">
        <v>204.85</v>
      </c>
      <c r="S43" s="14">
        <v>205.589</v>
      </c>
      <c r="T43" s="11">
        <v>1804.11</v>
      </c>
      <c r="U43" s="49">
        <f t="shared" si="19"/>
        <v>0.00359455029208763</v>
      </c>
      <c r="V43" s="11">
        <v>204.85</v>
      </c>
      <c r="W43" s="11">
        <v>205.36</v>
      </c>
      <c r="X43" s="11">
        <v>2521.73</v>
      </c>
      <c r="Y43" s="49">
        <f t="shared" si="20"/>
        <v>0.00248344370860937</v>
      </c>
    </row>
    <row r="44" s="10" customFormat="1" spans="1:25">
      <c r="A44" s="10" t="s">
        <v>144</v>
      </c>
      <c r="B44" s="10">
        <v>203.06</v>
      </c>
      <c r="C44" s="11">
        <v>204.459</v>
      </c>
      <c r="D44" s="11">
        <v>1990.25</v>
      </c>
      <c r="E44" s="49">
        <f t="shared" si="15"/>
        <v>0.00684244763008721</v>
      </c>
      <c r="F44" s="10">
        <v>199.9</v>
      </c>
      <c r="G44" s="14">
        <v>205.589</v>
      </c>
      <c r="H44" s="10">
        <v>3600</v>
      </c>
      <c r="I44" s="49">
        <f t="shared" si="16"/>
        <v>0.0276717139535675</v>
      </c>
      <c r="J44" s="11">
        <v>201.22</v>
      </c>
      <c r="K44" s="14">
        <v>205.589</v>
      </c>
      <c r="L44" s="10">
        <v>3600</v>
      </c>
      <c r="M44" s="49">
        <f t="shared" si="17"/>
        <v>0.0212511369771729</v>
      </c>
      <c r="N44" s="11">
        <v>201.75</v>
      </c>
      <c r="O44" s="11">
        <v>204.65</v>
      </c>
      <c r="P44" s="11">
        <v>2300.95</v>
      </c>
      <c r="Q44" s="49">
        <f t="shared" si="18"/>
        <v>0.0141705350598583</v>
      </c>
      <c r="R44" s="11">
        <v>200.23</v>
      </c>
      <c r="S44" s="14">
        <v>205.589</v>
      </c>
      <c r="T44" s="11">
        <v>1715.63</v>
      </c>
      <c r="U44" s="49">
        <f t="shared" si="19"/>
        <v>0.0260665697094689</v>
      </c>
      <c r="V44" s="11">
        <v>201.62</v>
      </c>
      <c r="W44" s="11">
        <v>205.27</v>
      </c>
      <c r="X44" s="11">
        <v>2730.98</v>
      </c>
      <c r="Y44" s="49">
        <f t="shared" si="20"/>
        <v>0.0177814585667657</v>
      </c>
    </row>
    <row r="45" s="10" customFormat="1" spans="1:25">
      <c r="A45" s="10" t="s">
        <v>23</v>
      </c>
      <c r="B45" s="15">
        <f>AVERAGE(B33:B44)</f>
        <v>197.214166666667</v>
      </c>
      <c r="C45" s="15">
        <f t="shared" ref="C45:Y45" si="21">AVERAGE(C33:C44)</f>
        <v>201.471416666667</v>
      </c>
      <c r="D45" s="15">
        <f t="shared" si="21"/>
        <v>2337.01916666667</v>
      </c>
      <c r="E45" s="49">
        <f t="shared" si="21"/>
        <v>0.0216382384207431</v>
      </c>
      <c r="F45" s="15">
        <f t="shared" si="21"/>
        <v>190.163091666667</v>
      </c>
      <c r="G45" s="15">
        <f t="shared" si="21"/>
        <v>204.834583333333</v>
      </c>
      <c r="H45" s="15">
        <f t="shared" si="21"/>
        <v>3600</v>
      </c>
      <c r="I45" s="49">
        <f t="shared" si="21"/>
        <v>0.0720112869430046</v>
      </c>
      <c r="J45" s="15">
        <f t="shared" si="21"/>
        <v>192.268333333333</v>
      </c>
      <c r="K45" s="15">
        <f t="shared" si="21"/>
        <v>204.834583333333</v>
      </c>
      <c r="L45" s="15">
        <f t="shared" si="21"/>
        <v>3600</v>
      </c>
      <c r="M45" s="49">
        <f t="shared" si="21"/>
        <v>0.0617260005688732</v>
      </c>
      <c r="N45" s="15">
        <f t="shared" si="21"/>
        <v>195.140833333333</v>
      </c>
      <c r="O45" s="15">
        <f t="shared" si="21"/>
        <v>202.023333333333</v>
      </c>
      <c r="P45" s="15">
        <f t="shared" si="21"/>
        <v>2508.77666666667</v>
      </c>
      <c r="Q45" s="49">
        <f t="shared" si="21"/>
        <v>0.034548795599814</v>
      </c>
      <c r="R45" s="15">
        <f t="shared" si="21"/>
        <v>190.4125</v>
      </c>
      <c r="S45" s="15">
        <f t="shared" si="21"/>
        <v>204.834583333333</v>
      </c>
      <c r="T45" s="15">
        <f t="shared" si="21"/>
        <v>2612.7</v>
      </c>
      <c r="U45" s="49">
        <f t="shared" si="21"/>
        <v>0.0707892567656781</v>
      </c>
      <c r="V45" s="15">
        <f t="shared" si="21"/>
        <v>193.436666666667</v>
      </c>
      <c r="W45" s="15">
        <f t="shared" si="21"/>
        <v>202.9325</v>
      </c>
      <c r="X45" s="15">
        <f t="shared" si="21"/>
        <v>2512.51333333333</v>
      </c>
      <c r="Y45" s="49">
        <f t="shared" si="21"/>
        <v>0.047346801017343</v>
      </c>
    </row>
    <row r="46" spans="1:25">
      <c r="E46" s="6"/>
      <c r="I46" s="6"/>
      <c r="M46" s="6"/>
      <c r="Q46" s="6"/>
      <c r="U46" s="6"/>
      <c r="Y46" s="6"/>
    </row>
    <row r="47" spans="1:25">
      <c r="E47" s="6"/>
      <c r="I47" s="6"/>
      <c r="M47" s="6"/>
      <c r="Q47" s="6"/>
      <c r="U47" s="6"/>
      <c r="Y47" s="6"/>
    </row>
    <row r="48" spans="1:25">
      <c r="A48" s="3" t="s">
        <v>145</v>
      </c>
      <c r="B48">
        <v>206.3602</v>
      </c>
      <c r="C48">
        <v>225.031</v>
      </c>
      <c r="D48" s="33">
        <v>1710.52</v>
      </c>
      <c r="E48" s="6">
        <f t="shared" ref="E47:E59" si="22">(C48-B48)/C48</f>
        <v>0.0829699019246238</v>
      </c>
      <c r="F48">
        <v>199.6226</v>
      </c>
      <c r="G48">
        <v>227.4779</v>
      </c>
      <c r="H48">
        <v>3600</v>
      </c>
      <c r="I48" s="6">
        <f t="shared" ref="I47:I59" si="23">(G48-F48)/G48</f>
        <v>0.122452774533262</v>
      </c>
      <c r="J48" s="33">
        <v>200.755</v>
      </c>
      <c r="K48">
        <v>227.4779</v>
      </c>
      <c r="L48">
        <v>3600</v>
      </c>
      <c r="M48" s="6">
        <f t="shared" ref="M47:M59" si="24">(K48-J48)/K48</f>
        <v>0.117474708532126</v>
      </c>
      <c r="N48" s="33">
        <v>204.37</v>
      </c>
      <c r="O48">
        <v>227.4779</v>
      </c>
      <c r="P48" s="33">
        <v>2534.28</v>
      </c>
      <c r="Q48" s="6">
        <f t="shared" ref="Q47:Q59" si="25">(O48-N48)/O48</f>
        <v>0.101583054881375</v>
      </c>
      <c r="R48" s="33">
        <v>200.9</v>
      </c>
      <c r="S48">
        <v>227.4779</v>
      </c>
      <c r="T48">
        <v>3600</v>
      </c>
      <c r="U48" s="6">
        <f t="shared" ref="U47:U59" si="26">(S48-R48)/S48</f>
        <v>0.11683728397352</v>
      </c>
      <c r="V48" s="33">
        <v>203.08</v>
      </c>
      <c r="W48">
        <v>227.4779</v>
      </c>
      <c r="X48" s="33">
        <v>3104.03</v>
      </c>
      <c r="Y48" s="6">
        <f t="shared" ref="Y47:Y59" si="27">(W48-V48)/W48</f>
        <v>0.107253935437245</v>
      </c>
    </row>
    <row r="49" spans="1:25">
      <c r="A49" s="3" t="s">
        <v>146</v>
      </c>
      <c r="B49">
        <v>212.7172</v>
      </c>
      <c r="C49">
        <v>226.401</v>
      </c>
      <c r="D49" s="33">
        <v>1263.78</v>
      </c>
      <c r="E49" s="6">
        <f t="shared" si="22"/>
        <v>0.0604405457573068</v>
      </c>
      <c r="F49">
        <v>206.045</v>
      </c>
      <c r="G49">
        <v>227.4779</v>
      </c>
      <c r="H49">
        <v>3600</v>
      </c>
      <c r="I49" s="6">
        <f t="shared" si="23"/>
        <v>0.0942197022216225</v>
      </c>
      <c r="J49" s="33">
        <v>206.654</v>
      </c>
      <c r="K49">
        <v>227.4779</v>
      </c>
      <c r="L49">
        <v>3600</v>
      </c>
      <c r="M49" s="6">
        <f t="shared" si="24"/>
        <v>0.0915425190754795</v>
      </c>
      <c r="N49" s="33">
        <v>212.25</v>
      </c>
      <c r="O49">
        <v>227.4779</v>
      </c>
      <c r="P49" s="33">
        <v>1762</v>
      </c>
      <c r="Q49" s="6">
        <f t="shared" si="25"/>
        <v>0.0669423271447468</v>
      </c>
      <c r="R49" s="33">
        <v>207.22</v>
      </c>
      <c r="S49">
        <v>227.4779</v>
      </c>
      <c r="T49">
        <v>3600</v>
      </c>
      <c r="U49" s="6">
        <f t="shared" si="26"/>
        <v>0.0890543652811988</v>
      </c>
      <c r="V49" s="33">
        <v>210.4</v>
      </c>
      <c r="W49">
        <v>227.4779</v>
      </c>
      <c r="X49" s="33">
        <v>2637.71</v>
      </c>
      <c r="Y49" s="6">
        <f t="shared" si="27"/>
        <v>0.0750749853062649</v>
      </c>
    </row>
    <row r="50" spans="1:25">
      <c r="A50" s="3" t="s">
        <v>147</v>
      </c>
      <c r="B50">
        <v>222.4486</v>
      </c>
      <c r="C50">
        <v>226.5081</v>
      </c>
      <c r="D50" s="33">
        <v>2805.83</v>
      </c>
      <c r="E50" s="6">
        <f t="shared" si="22"/>
        <v>0.0179220963841912</v>
      </c>
      <c r="F50">
        <v>218.926</v>
      </c>
      <c r="G50">
        <v>227.4779</v>
      </c>
      <c r="H50">
        <v>3600</v>
      </c>
      <c r="I50" s="6">
        <f t="shared" si="23"/>
        <v>0.0375944212602632</v>
      </c>
      <c r="J50" s="33">
        <v>219.956</v>
      </c>
      <c r="K50">
        <v>227.4779</v>
      </c>
      <c r="L50">
        <v>3600</v>
      </c>
      <c r="M50" s="6">
        <f t="shared" si="24"/>
        <v>0.033066508878445</v>
      </c>
      <c r="N50" s="33">
        <v>221.96</v>
      </c>
      <c r="O50">
        <v>227.4779</v>
      </c>
      <c r="P50" s="33">
        <v>3223.25</v>
      </c>
      <c r="Q50" s="6">
        <f t="shared" si="25"/>
        <v>0.0242568618753734</v>
      </c>
      <c r="R50" s="33">
        <v>219.26</v>
      </c>
      <c r="S50">
        <v>227.4779</v>
      </c>
      <c r="T50">
        <v>3600</v>
      </c>
      <c r="U50" s="6">
        <f t="shared" si="26"/>
        <v>0.0361261467597512</v>
      </c>
      <c r="V50" s="33">
        <v>221.02</v>
      </c>
      <c r="W50">
        <v>227.4779</v>
      </c>
      <c r="X50" s="33">
        <v>3600</v>
      </c>
      <c r="Y50" s="6">
        <f t="shared" si="27"/>
        <v>0.0283891314277123</v>
      </c>
    </row>
    <row r="51" s="10" customFormat="1" spans="1:25">
      <c r="A51" s="14" t="s">
        <v>148</v>
      </c>
      <c r="B51" s="10">
        <v>220.0038</v>
      </c>
      <c r="C51" s="10">
        <v>227.4779</v>
      </c>
      <c r="D51" s="11">
        <v>1049.11</v>
      </c>
      <c r="E51" s="49">
        <f t="shared" si="22"/>
        <v>0.032856378575677</v>
      </c>
      <c r="F51" s="10">
        <v>204.3713</v>
      </c>
      <c r="G51" s="10">
        <v>227.4779</v>
      </c>
      <c r="H51" s="10">
        <v>3600</v>
      </c>
      <c r="I51" s="49">
        <f t="shared" si="23"/>
        <v>0.101577340040505</v>
      </c>
      <c r="J51" s="11">
        <v>209.147</v>
      </c>
      <c r="K51" s="10">
        <v>227.4779</v>
      </c>
      <c r="L51" s="10">
        <v>3600</v>
      </c>
      <c r="M51" s="49">
        <f t="shared" si="24"/>
        <v>0.080583212698904</v>
      </c>
      <c r="N51" s="11">
        <v>218.3</v>
      </c>
      <c r="O51" s="10">
        <v>227.4779</v>
      </c>
      <c r="P51" s="11">
        <v>2619.3</v>
      </c>
      <c r="Q51" s="49">
        <f t="shared" si="25"/>
        <v>0.0403463369408632</v>
      </c>
      <c r="R51" s="11">
        <v>205.77</v>
      </c>
      <c r="S51" s="10">
        <v>227.4779</v>
      </c>
      <c r="T51" s="10">
        <v>3600</v>
      </c>
      <c r="U51" s="49">
        <f t="shared" si="26"/>
        <v>0.0954286108672535</v>
      </c>
      <c r="V51" s="11">
        <v>213.48</v>
      </c>
      <c r="W51" s="10">
        <v>227.4779</v>
      </c>
      <c r="X51" s="11">
        <v>3333.07</v>
      </c>
      <c r="Y51" s="49">
        <f t="shared" si="27"/>
        <v>0.061535208475197</v>
      </c>
    </row>
    <row r="52" spans="1:25">
      <c r="A52" s="3" t="s">
        <v>149</v>
      </c>
      <c r="B52">
        <v>221.1572</v>
      </c>
      <c r="C52">
        <v>227.4779</v>
      </c>
      <c r="D52" s="33">
        <v>1393.05</v>
      </c>
      <c r="E52" s="6">
        <f t="shared" si="22"/>
        <v>0.0277859959143285</v>
      </c>
      <c r="F52">
        <v>219.042</v>
      </c>
      <c r="G52">
        <v>227.4779</v>
      </c>
      <c r="H52">
        <v>3600</v>
      </c>
      <c r="I52" s="6">
        <f t="shared" si="23"/>
        <v>0.0370844816133787</v>
      </c>
      <c r="J52" s="33">
        <v>219.231</v>
      </c>
      <c r="K52">
        <v>227.4779</v>
      </c>
      <c r="L52">
        <v>3600</v>
      </c>
      <c r="M52" s="6">
        <f t="shared" si="24"/>
        <v>0.0362536316714723</v>
      </c>
      <c r="N52" s="33">
        <v>221.09</v>
      </c>
      <c r="O52">
        <v>227.4779</v>
      </c>
      <c r="P52" s="33">
        <v>1516.45</v>
      </c>
      <c r="Q52" s="6">
        <f t="shared" si="25"/>
        <v>0.0280814092270062</v>
      </c>
      <c r="R52" s="33">
        <v>219.78</v>
      </c>
      <c r="S52">
        <v>227.4779</v>
      </c>
      <c r="T52">
        <v>3600</v>
      </c>
      <c r="U52" s="6">
        <f t="shared" si="26"/>
        <v>0.0338402104116488</v>
      </c>
      <c r="V52" s="33">
        <v>220.55</v>
      </c>
      <c r="W52">
        <v>227.4779</v>
      </c>
      <c r="X52" s="33">
        <v>2953.34</v>
      </c>
      <c r="Y52" s="6">
        <f t="shared" si="27"/>
        <v>0.0304552662038818</v>
      </c>
    </row>
    <row r="53" spans="1:25">
      <c r="A53" s="3" t="s">
        <v>150</v>
      </c>
      <c r="B53">
        <v>223.6376</v>
      </c>
      <c r="C53">
        <v>227.4779</v>
      </c>
      <c r="D53" s="33">
        <v>936.08</v>
      </c>
      <c r="E53" s="6">
        <f t="shared" si="22"/>
        <v>0.0168820795338801</v>
      </c>
      <c r="F53">
        <v>221.701</v>
      </c>
      <c r="G53">
        <v>227.4779</v>
      </c>
      <c r="H53">
        <v>3600</v>
      </c>
      <c r="I53" s="6">
        <f t="shared" si="23"/>
        <v>0.025395434017986</v>
      </c>
      <c r="J53" s="33">
        <v>221.731</v>
      </c>
      <c r="K53">
        <v>227.4779</v>
      </c>
      <c r="L53">
        <v>3600</v>
      </c>
      <c r="M53" s="6">
        <f t="shared" si="24"/>
        <v>0.0252635530748262</v>
      </c>
      <c r="N53" s="33">
        <v>223.18</v>
      </c>
      <c r="O53">
        <v>227.4779</v>
      </c>
      <c r="P53" s="33">
        <v>1120.37</v>
      </c>
      <c r="Q53" s="6">
        <f t="shared" si="25"/>
        <v>0.0188937035202101</v>
      </c>
      <c r="R53" s="33">
        <v>221.74</v>
      </c>
      <c r="S53">
        <v>227.4779</v>
      </c>
      <c r="T53">
        <v>3600</v>
      </c>
      <c r="U53" s="6">
        <f t="shared" si="26"/>
        <v>0.0252239887918782</v>
      </c>
      <c r="V53" s="33">
        <v>222.87</v>
      </c>
      <c r="W53">
        <v>227.4779</v>
      </c>
      <c r="X53" s="33">
        <v>2290.08</v>
      </c>
      <c r="Y53" s="6">
        <f t="shared" si="27"/>
        <v>0.0202564732661942</v>
      </c>
    </row>
    <row r="54" spans="1:25">
      <c r="A54" s="3" t="s">
        <v>151</v>
      </c>
      <c r="B54">
        <v>224.9386</v>
      </c>
      <c r="C54">
        <v>227.4779</v>
      </c>
      <c r="D54" s="33">
        <v>1690.25</v>
      </c>
      <c r="E54" s="6">
        <f t="shared" si="22"/>
        <v>0.0111628426321854</v>
      </c>
      <c r="F54">
        <v>214.8721</v>
      </c>
      <c r="G54">
        <v>227.4779</v>
      </c>
      <c r="H54">
        <v>3600</v>
      </c>
      <c r="I54" s="6">
        <f t="shared" si="23"/>
        <v>0.0554154931094406</v>
      </c>
      <c r="J54" s="33">
        <v>216.879</v>
      </c>
      <c r="K54">
        <v>227.4779</v>
      </c>
      <c r="L54">
        <v>3600</v>
      </c>
      <c r="M54" s="6">
        <f t="shared" si="24"/>
        <v>0.046593097615197</v>
      </c>
      <c r="N54" s="33">
        <v>222.62</v>
      </c>
      <c r="O54">
        <v>227.4779</v>
      </c>
      <c r="P54" s="33">
        <v>2355.33</v>
      </c>
      <c r="Q54" s="6">
        <f t="shared" si="25"/>
        <v>0.0213554811258588</v>
      </c>
      <c r="R54" s="33">
        <v>217.5</v>
      </c>
      <c r="S54">
        <v>227.4779</v>
      </c>
      <c r="T54">
        <v>3600</v>
      </c>
      <c r="U54" s="6">
        <f t="shared" si="26"/>
        <v>0.04386316209179</v>
      </c>
      <c r="V54" s="33">
        <v>222.58</v>
      </c>
      <c r="W54">
        <v>227.4779</v>
      </c>
      <c r="X54" s="33">
        <v>2514.78</v>
      </c>
      <c r="Y54" s="6">
        <f t="shared" si="27"/>
        <v>0.0215313223834051</v>
      </c>
    </row>
    <row r="55" spans="1:25">
      <c r="A55" s="3" t="s">
        <v>152</v>
      </c>
      <c r="B55">
        <v>225.3327</v>
      </c>
      <c r="C55">
        <v>227.4779</v>
      </c>
      <c r="D55" s="33">
        <v>2439.36</v>
      </c>
      <c r="E55" s="6">
        <f t="shared" si="22"/>
        <v>0.00943036664221015</v>
      </c>
      <c r="F55">
        <v>222.509</v>
      </c>
      <c r="G55">
        <v>227.4779</v>
      </c>
      <c r="H55">
        <v>3600</v>
      </c>
      <c r="I55" s="6">
        <f t="shared" si="23"/>
        <v>0.02184344061555</v>
      </c>
      <c r="J55" s="33">
        <v>222.632</v>
      </c>
      <c r="K55">
        <v>227.4779</v>
      </c>
      <c r="L55">
        <v>3600</v>
      </c>
      <c r="M55" s="6">
        <f t="shared" si="24"/>
        <v>0.0213027287485949</v>
      </c>
      <c r="N55" s="33">
        <v>224.58</v>
      </c>
      <c r="O55">
        <v>227.4779</v>
      </c>
      <c r="P55" s="33">
        <v>3106.36</v>
      </c>
      <c r="Q55" s="6">
        <f t="shared" si="25"/>
        <v>0.0127392595060883</v>
      </c>
      <c r="R55" s="33">
        <v>222.55</v>
      </c>
      <c r="S55">
        <v>227.4779</v>
      </c>
      <c r="T55">
        <v>3600</v>
      </c>
      <c r="U55" s="6">
        <f t="shared" si="26"/>
        <v>0.0216632033265649</v>
      </c>
      <c r="V55" s="33">
        <v>223.98</v>
      </c>
      <c r="W55">
        <v>227.4779</v>
      </c>
      <c r="X55" s="33">
        <v>3449.33</v>
      </c>
      <c r="Y55" s="6">
        <f t="shared" si="27"/>
        <v>0.0153768783692834</v>
      </c>
    </row>
    <row r="56" spans="1:25">
      <c r="A56" s="3" t="s">
        <v>153</v>
      </c>
      <c r="B56">
        <v>226.0532</v>
      </c>
      <c r="C56">
        <v>227.4779</v>
      </c>
      <c r="D56" s="33">
        <v>597.02</v>
      </c>
      <c r="E56" s="6">
        <f t="shared" si="22"/>
        <v>0.00626302599065668</v>
      </c>
      <c r="F56">
        <v>225.113</v>
      </c>
      <c r="G56">
        <v>227.4779</v>
      </c>
      <c r="H56">
        <v>3600</v>
      </c>
      <c r="I56" s="6">
        <f t="shared" si="23"/>
        <v>0.0103961747492834</v>
      </c>
      <c r="J56" s="33">
        <v>225.373</v>
      </c>
      <c r="K56">
        <v>227.4779</v>
      </c>
      <c r="L56">
        <v>3600</v>
      </c>
      <c r="M56" s="6">
        <f t="shared" si="24"/>
        <v>0.00925320657523221</v>
      </c>
      <c r="N56" s="33">
        <v>225.99</v>
      </c>
      <c r="O56">
        <v>227.4779</v>
      </c>
      <c r="P56" s="33">
        <v>906.48</v>
      </c>
      <c r="Q56" s="6">
        <f t="shared" si="25"/>
        <v>0.00654085517757987</v>
      </c>
      <c r="R56" s="33">
        <v>225.22</v>
      </c>
      <c r="S56">
        <v>227.4779</v>
      </c>
      <c r="T56">
        <v>3600</v>
      </c>
      <c r="U56" s="6">
        <f t="shared" si="26"/>
        <v>0.00992579938534691</v>
      </c>
      <c r="V56" s="33">
        <v>225.58</v>
      </c>
      <c r="W56">
        <v>227.4779</v>
      </c>
      <c r="X56" s="33">
        <v>1258.99</v>
      </c>
      <c r="Y56" s="6">
        <f t="shared" si="27"/>
        <v>0.00834322806742981</v>
      </c>
    </row>
    <row r="57" spans="1:25">
      <c r="A57" s="3" t="s">
        <v>154</v>
      </c>
      <c r="B57">
        <v>225.9383</v>
      </c>
      <c r="C57">
        <v>227.4779</v>
      </c>
      <c r="D57" s="33">
        <v>1248.62</v>
      </c>
      <c r="E57" s="6">
        <f t="shared" si="22"/>
        <v>0.00676813000295856</v>
      </c>
      <c r="F57">
        <v>223.92</v>
      </c>
      <c r="G57">
        <v>227.4779</v>
      </c>
      <c r="H57">
        <v>3600</v>
      </c>
      <c r="I57" s="6">
        <f t="shared" si="23"/>
        <v>0.0156406402556029</v>
      </c>
      <c r="J57" s="33">
        <v>224.116</v>
      </c>
      <c r="K57">
        <v>227.4779</v>
      </c>
      <c r="L57">
        <v>3600</v>
      </c>
      <c r="M57" s="6">
        <f t="shared" si="24"/>
        <v>0.0147790180936258</v>
      </c>
      <c r="N57" s="33">
        <v>225.94</v>
      </c>
      <c r="O57">
        <v>227.4779</v>
      </c>
      <c r="P57" s="33">
        <v>2504.68</v>
      </c>
      <c r="Q57" s="6">
        <f t="shared" si="25"/>
        <v>0.00676065674951284</v>
      </c>
      <c r="R57" s="33">
        <v>224.51</v>
      </c>
      <c r="S57">
        <v>227.4779</v>
      </c>
      <c r="T57">
        <v>3600</v>
      </c>
      <c r="U57" s="6">
        <f t="shared" si="26"/>
        <v>0.0130469817067944</v>
      </c>
      <c r="V57" s="33">
        <v>225.36</v>
      </c>
      <c r="W57">
        <v>227.4779</v>
      </c>
      <c r="X57" s="33">
        <v>3600</v>
      </c>
      <c r="Y57" s="6">
        <f t="shared" si="27"/>
        <v>0.00931035498393467</v>
      </c>
    </row>
    <row r="58" spans="1:25">
      <c r="A58" s="3" t="s">
        <v>155</v>
      </c>
      <c r="B58">
        <v>227.0008</v>
      </c>
      <c r="C58">
        <v>227.4779</v>
      </c>
      <c r="D58" s="33">
        <v>1310.67</v>
      </c>
      <c r="E58" s="6">
        <f t="shared" si="22"/>
        <v>0.00209734659938397</v>
      </c>
      <c r="F58">
        <v>225.71</v>
      </c>
      <c r="G58">
        <v>227.4779</v>
      </c>
      <c r="H58">
        <v>3600</v>
      </c>
      <c r="I58" s="6">
        <f t="shared" si="23"/>
        <v>0.00777174398040424</v>
      </c>
      <c r="J58" s="33">
        <v>225.734</v>
      </c>
      <c r="K58">
        <v>227.4779</v>
      </c>
      <c r="L58">
        <v>3600</v>
      </c>
      <c r="M58" s="6">
        <f t="shared" si="24"/>
        <v>0.00766623922587643</v>
      </c>
      <c r="N58" s="33">
        <v>226.99</v>
      </c>
      <c r="O58">
        <v>227.4779</v>
      </c>
      <c r="P58" s="33">
        <v>2374.74</v>
      </c>
      <c r="Q58" s="6">
        <f t="shared" si="25"/>
        <v>0.00214482373892143</v>
      </c>
      <c r="R58" s="33">
        <v>225.8</v>
      </c>
      <c r="S58">
        <v>227.4779</v>
      </c>
      <c r="T58">
        <v>3600</v>
      </c>
      <c r="U58" s="6">
        <f t="shared" si="26"/>
        <v>0.00737610115092496</v>
      </c>
      <c r="V58" s="33">
        <v>226.87</v>
      </c>
      <c r="W58">
        <v>227.4779</v>
      </c>
      <c r="X58" s="33">
        <v>3600</v>
      </c>
      <c r="Y58" s="6">
        <f t="shared" si="27"/>
        <v>0.00267234751156047</v>
      </c>
    </row>
    <row r="59" spans="1:25">
      <c r="A59" s="3" t="s">
        <v>156</v>
      </c>
      <c r="B59">
        <v>227.392</v>
      </c>
      <c r="C59">
        <v>227.4779</v>
      </c>
      <c r="D59" s="33">
        <v>2647.34</v>
      </c>
      <c r="E59" s="6">
        <f t="shared" si="22"/>
        <v>0.000377619100580801</v>
      </c>
      <c r="F59">
        <v>225.983</v>
      </c>
      <c r="G59">
        <v>227.4779</v>
      </c>
      <c r="H59">
        <v>3600</v>
      </c>
      <c r="I59" s="6">
        <f t="shared" si="23"/>
        <v>0.0065716273976505</v>
      </c>
      <c r="J59" s="33">
        <v>226.381</v>
      </c>
      <c r="K59">
        <v>227.4779</v>
      </c>
      <c r="L59">
        <v>3600</v>
      </c>
      <c r="M59" s="6">
        <f t="shared" si="24"/>
        <v>0.00482200688506446</v>
      </c>
      <c r="N59" s="33">
        <v>227.15</v>
      </c>
      <c r="O59">
        <v>227.4779</v>
      </c>
      <c r="P59" s="33">
        <v>2990.05</v>
      </c>
      <c r="Q59" s="6">
        <f t="shared" si="25"/>
        <v>0.0014414587087361</v>
      </c>
      <c r="R59" s="33">
        <v>226.19</v>
      </c>
      <c r="S59">
        <v>227.4779</v>
      </c>
      <c r="T59">
        <v>3600</v>
      </c>
      <c r="U59" s="6">
        <f t="shared" si="26"/>
        <v>0.00566164888984823</v>
      </c>
      <c r="V59" s="33">
        <v>226.91</v>
      </c>
      <c r="W59">
        <v>227.4779</v>
      </c>
      <c r="X59" s="33">
        <v>3600</v>
      </c>
      <c r="Y59" s="6">
        <f t="shared" si="27"/>
        <v>0.00249650625401416</v>
      </c>
    </row>
    <row r="60" spans="1:25">
      <c r="A60" s="3" t="s">
        <v>23</v>
      </c>
      <c r="B60">
        <f>AVERAGE(B48:B59)</f>
        <v>221.915016666667</v>
      </c>
      <c r="C60">
        <f t="shared" ref="C60:Y60" si="28">AVERAGE(C48:C59)</f>
        <v>227.103433333333</v>
      </c>
      <c r="D60">
        <f t="shared" si="28"/>
        <v>1590.96916666667</v>
      </c>
      <c r="E60" s="6">
        <f t="shared" si="28"/>
        <v>0.0229130274214986</v>
      </c>
      <c r="F60">
        <f t="shared" si="28"/>
        <v>217.317916666667</v>
      </c>
      <c r="G60">
        <f t="shared" si="28"/>
        <v>227.4779</v>
      </c>
      <c r="H60">
        <f t="shared" si="28"/>
        <v>3600</v>
      </c>
      <c r="I60" s="6">
        <f t="shared" si="28"/>
        <v>0.0446636061495791</v>
      </c>
      <c r="J60">
        <f t="shared" si="28"/>
        <v>218.21575</v>
      </c>
      <c r="K60">
        <f t="shared" si="28"/>
        <v>227.4779</v>
      </c>
      <c r="L60">
        <f t="shared" si="28"/>
        <v>3600</v>
      </c>
      <c r="M60" s="6">
        <f t="shared" si="28"/>
        <v>0.0407167025895703</v>
      </c>
      <c r="N60">
        <f t="shared" si="28"/>
        <v>221.201666666667</v>
      </c>
      <c r="O60">
        <f t="shared" si="28"/>
        <v>227.4779</v>
      </c>
      <c r="P60">
        <f t="shared" si="28"/>
        <v>2251.1075</v>
      </c>
      <c r="Q60" s="6">
        <f t="shared" si="28"/>
        <v>0.0275905190496894</v>
      </c>
      <c r="R60">
        <f t="shared" si="28"/>
        <v>218.036666666667</v>
      </c>
      <c r="S60">
        <f t="shared" si="28"/>
        <v>227.4779</v>
      </c>
      <c r="T60">
        <f t="shared" si="28"/>
        <v>3600</v>
      </c>
      <c r="U60" s="6">
        <f t="shared" si="28"/>
        <v>0.0415039585530433</v>
      </c>
      <c r="V60">
        <f t="shared" si="28"/>
        <v>220.223333333333</v>
      </c>
      <c r="W60">
        <f t="shared" si="28"/>
        <v>227.4779</v>
      </c>
      <c r="X60">
        <f t="shared" si="28"/>
        <v>2995.11083333333</v>
      </c>
      <c r="Y60" s="6">
        <f t="shared" si="28"/>
        <v>0.0318913031405102</v>
      </c>
    </row>
    <row r="61" spans="1:25">
      <c r="B61">
        <f>AVERAGE(B60,B30)</f>
        <v>222.763270833333</v>
      </c>
      <c r="C61">
        <f t="shared" ref="C61:Y61" si="29">AVERAGE(C60,C30)</f>
        <v>226.952008333333</v>
      </c>
      <c r="D61">
        <f t="shared" si="29"/>
        <v>1459.75375</v>
      </c>
      <c r="E61">
        <f t="shared" si="29"/>
        <v>0.0185154871905444</v>
      </c>
      <c r="F61">
        <f t="shared" si="29"/>
        <v>217.24325</v>
      </c>
      <c r="G61">
        <f t="shared" si="29"/>
        <v>227.321079166667</v>
      </c>
      <c r="H61">
        <f t="shared" si="29"/>
        <v>3146.03208333333</v>
      </c>
      <c r="I61">
        <f t="shared" si="29"/>
        <v>0.0444318831775014</v>
      </c>
      <c r="J61">
        <f t="shared" si="29"/>
        <v>218.42525</v>
      </c>
      <c r="K61">
        <f t="shared" si="29"/>
        <v>227.321079166667</v>
      </c>
      <c r="L61">
        <f t="shared" si="29"/>
        <v>3133.34083333333</v>
      </c>
      <c r="M61">
        <f t="shared" si="29"/>
        <v>0.0392335121500529</v>
      </c>
      <c r="N61">
        <f t="shared" si="29"/>
        <v>222.314666666667</v>
      </c>
      <c r="O61">
        <f t="shared" si="29"/>
        <v>227.139333333333</v>
      </c>
      <c r="P61">
        <f t="shared" si="29"/>
        <v>1904.87125</v>
      </c>
      <c r="Q61">
        <f t="shared" si="29"/>
        <v>0.0212646622648265</v>
      </c>
      <c r="R61">
        <f t="shared" si="29"/>
        <v>219.577083333333</v>
      </c>
      <c r="S61">
        <f t="shared" si="29"/>
        <v>227.320941666667</v>
      </c>
      <c r="T61">
        <f t="shared" si="29"/>
        <v>2612.41708333333</v>
      </c>
      <c r="U61">
        <f t="shared" si="29"/>
        <v>0.0341551332120426</v>
      </c>
      <c r="V61">
        <f t="shared" si="29"/>
        <v>221.523754166667</v>
      </c>
      <c r="W61">
        <f t="shared" si="29"/>
        <v>227.320583333333</v>
      </c>
      <c r="X61">
        <f t="shared" si="29"/>
        <v>2376.15708333333</v>
      </c>
      <c r="Y61">
        <f t="shared" si="29"/>
        <v>0.0255515573530323</v>
      </c>
    </row>
  </sheetData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62"/>
  <sheetViews>
    <sheetView topLeftCell="A28" workbookViewId="0">
      <selection activeCell="A33" sqref="A33:D45"/>
    </sheetView>
  </sheetViews>
  <sheetFormatPr defaultColWidth="8.72727272727273" defaultRowHeight="14"/>
  <cols>
    <col min="1" max="1" width="27.0909090909091" customWidth="1"/>
    <col min="2" max="2" width="8.63636363636364" customWidth="1"/>
    <col min="3" max="3" width="8.09090909090909" customWidth="1"/>
    <col min="4" max="4" width="12.1818181818182" customWidth="1"/>
    <col min="5" max="5" width="14.4545454545455" customWidth="1"/>
    <col min="6" max="7" width="8.72727272727273" customWidth="1"/>
    <col min="8" max="8" width="10.3636363636364" customWidth="1"/>
    <col min="9" max="9" width="11.4545454545455" customWidth="1"/>
    <col min="10" max="10" width="12.4545454545455" customWidth="1"/>
    <col min="11" max="11" width="7.54545454545455" customWidth="1"/>
    <col min="12" max="12" width="10.2727272727273" customWidth="1"/>
    <col min="13" max="13" width="8.63636363636364" customWidth="1"/>
    <col min="14" max="14" width="8.72727272727273" customWidth="1"/>
    <col min="15" max="15" width="11.1818181818182" customWidth="1"/>
    <col min="16" max="16" width="10.8181818181818" customWidth="1"/>
    <col min="17" max="17" width="10.4545454545455" customWidth="1"/>
    <col min="18" max="18" width="8.63636363636364" customWidth="1"/>
    <col min="19" max="19" width="7.63636363636364" customWidth="1"/>
    <col min="20" max="20" width="11.3636363636364" customWidth="1"/>
    <col min="21" max="21" width="10.5454545454545" customWidth="1"/>
    <col min="22" max="22" width="12.8181818181818" customWidth="1"/>
    <col min="23" max="23" width="7.90909090909091" customWidth="1"/>
    <col min="24" max="24" width="14"/>
    <col min="25" max="25" width="12.8181818181818"/>
  </cols>
  <sheetData>
    <row r="1" spans="1:25">
      <c r="A1" s="2" t="s">
        <v>0</v>
      </c>
      <c r="B1" s="2" t="s">
        <v>108</v>
      </c>
      <c r="C1" s="2"/>
      <c r="D1" s="2" t="s">
        <v>3</v>
      </c>
      <c r="E1" s="2" t="s">
        <v>10</v>
      </c>
      <c r="F1" s="2" t="s">
        <v>2</v>
      </c>
      <c r="G1" s="2"/>
      <c r="H1" s="2" t="s">
        <v>3</v>
      </c>
      <c r="I1" s="2" t="s">
        <v>10</v>
      </c>
      <c r="J1" s="2" t="s">
        <v>4</v>
      </c>
      <c r="K1" s="2"/>
      <c r="L1" s="2" t="s">
        <v>3</v>
      </c>
      <c r="M1" s="2" t="s">
        <v>10</v>
      </c>
      <c r="N1" s="2" t="s">
        <v>5</v>
      </c>
      <c r="O1" s="2"/>
      <c r="P1" s="2" t="s">
        <v>3</v>
      </c>
      <c r="Q1" s="2" t="s">
        <v>10</v>
      </c>
      <c r="R1" s="2" t="s">
        <v>6</v>
      </c>
      <c r="S1" s="2"/>
      <c r="T1" s="2" t="s">
        <v>3</v>
      </c>
      <c r="U1" s="2" t="s">
        <v>10</v>
      </c>
      <c r="V1" s="2" t="s">
        <v>7</v>
      </c>
      <c r="W1" s="2"/>
      <c r="X1" s="2" t="s">
        <v>3</v>
      </c>
      <c r="Y1" s="2" t="s">
        <v>10</v>
      </c>
    </row>
    <row r="2" spans="1:25">
      <c r="A2" s="3"/>
    </row>
    <row r="3" s="10" customFormat="1" spans="1:25">
      <c r="A3" s="10" t="s">
        <v>109</v>
      </c>
      <c r="B3" s="10">
        <v>158.56</v>
      </c>
      <c r="C3" s="11">
        <v>192.91</v>
      </c>
      <c r="D3" s="11">
        <v>1787.27</v>
      </c>
      <c r="E3" s="49">
        <f>(C3-B3)/C3</f>
        <v>0.178062308848686</v>
      </c>
      <c r="F3" s="10">
        <v>149.736</v>
      </c>
      <c r="G3" s="15">
        <v>195.6617</v>
      </c>
      <c r="H3" s="10">
        <v>3600</v>
      </c>
      <c r="I3" s="49">
        <f t="shared" ref="I3:I15" si="0">(G3-F3)/G3</f>
        <v>0.234719927303095</v>
      </c>
      <c r="J3" s="11">
        <v>149.82</v>
      </c>
      <c r="K3" s="15">
        <v>195.6617</v>
      </c>
      <c r="L3" s="10">
        <v>3600</v>
      </c>
      <c r="M3" s="49">
        <f t="shared" ref="M3:M15" si="1">(K3-J3)/K3</f>
        <v>0.234290614872507</v>
      </c>
      <c r="N3" s="10">
        <v>158.56</v>
      </c>
      <c r="O3" s="11">
        <v>195.12</v>
      </c>
      <c r="P3" s="11">
        <v>1855.59</v>
      </c>
      <c r="Q3" s="49">
        <f t="shared" ref="Q3:Q15" si="2">(O3-N3)/O3</f>
        <v>0.187371873718737</v>
      </c>
      <c r="R3" s="11">
        <v>150.51</v>
      </c>
      <c r="S3" s="15">
        <v>195.6617</v>
      </c>
      <c r="T3" s="11">
        <v>2851.75</v>
      </c>
      <c r="U3" s="49">
        <f t="shared" ref="U3:U15" si="3">(S3-R3)/S3</f>
        <v>0.230764119906962</v>
      </c>
      <c r="V3" s="11">
        <v>153.95</v>
      </c>
      <c r="W3" s="11">
        <v>195.47</v>
      </c>
      <c r="X3" s="15">
        <v>2076.46993375031</v>
      </c>
      <c r="Y3" s="49">
        <f t="shared" ref="Y3:Y15" si="4">(W3-V3)/W3</f>
        <v>0.212411111679542</v>
      </c>
    </row>
    <row r="4" s="10" customFormat="1" spans="1:25">
      <c r="A4" s="10" t="s">
        <v>110</v>
      </c>
      <c r="B4" s="10">
        <v>201.35</v>
      </c>
      <c r="C4" s="11">
        <v>203.7</v>
      </c>
      <c r="D4" s="11">
        <v>159.57</v>
      </c>
      <c r="E4" s="49">
        <f t="shared" ref="E3:E15" si="5">(C4-B4)/C4</f>
        <v>0.0115365733922435</v>
      </c>
      <c r="F4" s="10">
        <v>196.5494</v>
      </c>
      <c r="G4" s="10">
        <v>205.589</v>
      </c>
      <c r="H4" s="10">
        <v>3600</v>
      </c>
      <c r="I4" s="49">
        <f t="shared" si="0"/>
        <v>0.0439692785119827</v>
      </c>
      <c r="J4" s="11">
        <v>197.97</v>
      </c>
      <c r="K4" s="10">
        <v>205.589</v>
      </c>
      <c r="L4" s="10">
        <v>3600</v>
      </c>
      <c r="M4" s="49">
        <f t="shared" si="1"/>
        <v>0.0370593757448112</v>
      </c>
      <c r="N4" s="10">
        <v>201.35</v>
      </c>
      <c r="O4" s="11">
        <v>205.54</v>
      </c>
      <c r="P4" s="11">
        <v>408.66</v>
      </c>
      <c r="Q4" s="49">
        <f t="shared" si="2"/>
        <v>0.0203853264571373</v>
      </c>
      <c r="R4" s="11">
        <v>199.62</v>
      </c>
      <c r="S4" s="10">
        <v>205.589</v>
      </c>
      <c r="T4" s="11">
        <v>2552.08</v>
      </c>
      <c r="U4" s="49">
        <f t="shared" si="3"/>
        <v>0.0290336545243179</v>
      </c>
      <c r="V4" s="11">
        <v>201.31</v>
      </c>
      <c r="W4" s="11">
        <v>205.56</v>
      </c>
      <c r="X4" s="15">
        <v>579.596954221479</v>
      </c>
      <c r="Y4" s="49">
        <f t="shared" si="4"/>
        <v>0.020675228643705</v>
      </c>
    </row>
    <row r="5" s="10" customFormat="1" spans="1:25">
      <c r="A5" s="10" t="s">
        <v>111</v>
      </c>
      <c r="B5" s="10">
        <v>202.04</v>
      </c>
      <c r="C5" s="11">
        <v>204.28</v>
      </c>
      <c r="D5" s="11">
        <v>2158.49</v>
      </c>
      <c r="E5" s="49">
        <f t="shared" si="5"/>
        <v>0.0109653416878794</v>
      </c>
      <c r="F5" s="10">
        <v>196.4574</v>
      </c>
      <c r="G5" s="10">
        <v>205.589</v>
      </c>
      <c r="H5" s="10">
        <v>3600</v>
      </c>
      <c r="I5" s="49">
        <f t="shared" si="0"/>
        <v>0.0444167732709434</v>
      </c>
      <c r="J5" s="11">
        <v>197.63</v>
      </c>
      <c r="K5" s="10">
        <v>205.589</v>
      </c>
      <c r="L5" s="10">
        <v>3600</v>
      </c>
      <c r="M5" s="49">
        <f t="shared" si="1"/>
        <v>0.0387131607235796</v>
      </c>
      <c r="N5" s="11">
        <v>202.04</v>
      </c>
      <c r="O5" s="11">
        <v>205.2</v>
      </c>
      <c r="P5" s="11">
        <v>2366.44</v>
      </c>
      <c r="Q5" s="49">
        <f t="shared" si="2"/>
        <v>0.0153996101364522</v>
      </c>
      <c r="R5" s="11">
        <v>198.77</v>
      </c>
      <c r="S5" s="10">
        <v>205.589</v>
      </c>
      <c r="T5" s="11">
        <v>3174.39</v>
      </c>
      <c r="U5" s="49">
        <f t="shared" si="3"/>
        <v>0.0331681169712387</v>
      </c>
      <c r="V5" s="11">
        <v>198.22</v>
      </c>
      <c r="W5" s="11">
        <v>205.37</v>
      </c>
      <c r="X5" s="15">
        <v>2329.08721988839</v>
      </c>
      <c r="Y5" s="49">
        <f t="shared" si="4"/>
        <v>0.0348152115693626</v>
      </c>
    </row>
    <row r="6" s="10" customFormat="1" spans="1:25">
      <c r="A6" s="10" t="s">
        <v>112</v>
      </c>
      <c r="B6" s="10">
        <v>189.93</v>
      </c>
      <c r="C6" s="11">
        <v>195.69</v>
      </c>
      <c r="D6" s="11">
        <v>116.7</v>
      </c>
      <c r="E6" s="49">
        <f t="shared" si="5"/>
        <v>0.0294343093668557</v>
      </c>
      <c r="F6" s="10">
        <v>162.94</v>
      </c>
      <c r="G6" s="10">
        <v>205.56</v>
      </c>
      <c r="H6" s="10">
        <v>3600</v>
      </c>
      <c r="I6" s="49">
        <f t="shared" si="0"/>
        <v>0.207336057598755</v>
      </c>
      <c r="J6" s="11">
        <v>168.04</v>
      </c>
      <c r="K6" s="10">
        <v>205.56</v>
      </c>
      <c r="L6" s="10">
        <v>3600</v>
      </c>
      <c r="M6" s="49">
        <f t="shared" si="1"/>
        <v>0.182525783226309</v>
      </c>
      <c r="N6" s="10">
        <v>189.93</v>
      </c>
      <c r="O6" s="11">
        <v>201.2</v>
      </c>
      <c r="P6" s="11">
        <v>517.17</v>
      </c>
      <c r="Q6" s="49">
        <f t="shared" si="2"/>
        <v>0.056013916500994</v>
      </c>
      <c r="R6" s="11">
        <v>168.24</v>
      </c>
      <c r="S6" s="10">
        <v>205.56</v>
      </c>
      <c r="T6" s="11">
        <v>1457.09</v>
      </c>
      <c r="U6" s="49">
        <f t="shared" si="3"/>
        <v>0.181552831290134</v>
      </c>
      <c r="V6" s="11">
        <v>177.12</v>
      </c>
      <c r="W6" s="11">
        <v>202.58</v>
      </c>
      <c r="X6" s="15">
        <v>765.582385382327</v>
      </c>
      <c r="Y6" s="49">
        <f t="shared" si="4"/>
        <v>0.125678744199822</v>
      </c>
    </row>
    <row r="7" s="10" customFormat="1" spans="1:25">
      <c r="A7" s="10" t="s">
        <v>113</v>
      </c>
      <c r="B7" s="10">
        <v>204.53</v>
      </c>
      <c r="C7" s="11">
        <v>204.56</v>
      </c>
      <c r="D7" s="11">
        <v>2738.58</v>
      </c>
      <c r="E7" s="49">
        <f t="shared" si="5"/>
        <v>0.000146656237778652</v>
      </c>
      <c r="F7" s="10">
        <v>189.61</v>
      </c>
      <c r="G7" s="10">
        <v>205.589</v>
      </c>
      <c r="H7" s="10">
        <v>3600</v>
      </c>
      <c r="I7" s="49">
        <f t="shared" si="0"/>
        <v>0.077723029928644</v>
      </c>
      <c r="J7" s="11">
        <v>191.34</v>
      </c>
      <c r="K7" s="10">
        <v>205.589</v>
      </c>
      <c r="L7" s="10">
        <v>3600</v>
      </c>
      <c r="M7" s="49">
        <f t="shared" si="1"/>
        <v>0.0693081828307935</v>
      </c>
      <c r="N7" s="10">
        <v>204.53</v>
      </c>
      <c r="O7" s="11">
        <v>205.35</v>
      </c>
      <c r="P7" s="11">
        <v>2881.7</v>
      </c>
      <c r="Q7" s="49">
        <f t="shared" si="2"/>
        <v>0.00399318237156072</v>
      </c>
      <c r="R7" s="11">
        <v>192.64</v>
      </c>
      <c r="S7" s="10">
        <v>205.589</v>
      </c>
      <c r="T7" s="11">
        <v>3183.96</v>
      </c>
      <c r="U7" s="49">
        <f t="shared" si="3"/>
        <v>0.0629848873237382</v>
      </c>
      <c r="V7" s="11">
        <v>196.22</v>
      </c>
      <c r="W7" s="11">
        <v>204.55</v>
      </c>
      <c r="X7" s="15">
        <v>2883.06881013133</v>
      </c>
      <c r="Y7" s="49">
        <f t="shared" si="4"/>
        <v>0.0407235394769006</v>
      </c>
    </row>
    <row r="8" s="14" customFormat="1" ht="13" customHeight="1" spans="1:25">
      <c r="A8" s="14" t="s">
        <v>114</v>
      </c>
      <c r="B8" s="14">
        <v>204.79</v>
      </c>
      <c r="C8" s="32">
        <v>205.5</v>
      </c>
      <c r="D8" s="11">
        <v>262.38</v>
      </c>
      <c r="E8" s="49">
        <f t="shared" si="5"/>
        <v>0.00345498783454992</v>
      </c>
      <c r="F8" s="14">
        <v>200.5708</v>
      </c>
      <c r="G8" s="14">
        <v>205.589</v>
      </c>
      <c r="H8" s="10">
        <v>3600</v>
      </c>
      <c r="I8" s="49">
        <f t="shared" si="0"/>
        <v>0.024408893471927</v>
      </c>
      <c r="J8" s="32">
        <v>202.11</v>
      </c>
      <c r="K8" s="14">
        <v>205.589</v>
      </c>
      <c r="L8" s="10">
        <v>3600</v>
      </c>
      <c r="M8" s="49">
        <f t="shared" si="1"/>
        <v>0.0169221115915734</v>
      </c>
      <c r="N8" s="14">
        <v>204.79</v>
      </c>
      <c r="O8" s="11">
        <v>205.53</v>
      </c>
      <c r="P8" s="32">
        <v>487.83</v>
      </c>
      <c r="Q8" s="49">
        <f t="shared" si="2"/>
        <v>0.00360044762321807</v>
      </c>
      <c r="R8" s="32">
        <v>202.44</v>
      </c>
      <c r="S8" s="14">
        <v>205.589</v>
      </c>
      <c r="T8" s="11">
        <v>2036.91</v>
      </c>
      <c r="U8" s="49">
        <f t="shared" si="3"/>
        <v>0.0153169673474748</v>
      </c>
      <c r="V8" s="32">
        <v>205.58</v>
      </c>
      <c r="W8" s="11">
        <v>205.57</v>
      </c>
      <c r="X8" s="30">
        <v>1250.29448435921</v>
      </c>
      <c r="Y8" s="49">
        <f t="shared" si="4"/>
        <v>-4.86452303352597e-5</v>
      </c>
    </row>
    <row r="9" s="10" customFormat="1" spans="1:25">
      <c r="A9" s="14" t="s">
        <v>115</v>
      </c>
      <c r="B9" s="14">
        <v>202.29</v>
      </c>
      <c r="C9" s="14">
        <v>202.29</v>
      </c>
      <c r="D9" s="11">
        <v>258.44</v>
      </c>
      <c r="E9" s="49">
        <f t="shared" si="5"/>
        <v>0</v>
      </c>
      <c r="F9" s="10">
        <v>196.226</v>
      </c>
      <c r="G9" s="10">
        <v>205.589</v>
      </c>
      <c r="H9" s="10">
        <v>3600</v>
      </c>
      <c r="I9" s="49">
        <f t="shared" si="0"/>
        <v>0.0455423198711993</v>
      </c>
      <c r="J9" s="11">
        <v>196.72</v>
      </c>
      <c r="K9" s="10">
        <v>205.589</v>
      </c>
      <c r="L9" s="10">
        <v>3600</v>
      </c>
      <c r="M9" s="49">
        <f t="shared" si="1"/>
        <v>0.0431394675785183</v>
      </c>
      <c r="N9" s="14">
        <v>202.29</v>
      </c>
      <c r="O9" s="11">
        <v>205.54</v>
      </c>
      <c r="P9" s="11">
        <v>629.99</v>
      </c>
      <c r="Q9" s="49">
        <f t="shared" si="2"/>
        <v>0.0158120073951542</v>
      </c>
      <c r="R9" s="11">
        <v>197.55</v>
      </c>
      <c r="S9" s="10">
        <v>205.589</v>
      </c>
      <c r="T9" s="11">
        <v>1316.01</v>
      </c>
      <c r="U9" s="49">
        <f t="shared" si="3"/>
        <v>0.0391022866009368</v>
      </c>
      <c r="V9" s="11">
        <v>197.89</v>
      </c>
      <c r="W9" s="11">
        <v>205.56</v>
      </c>
      <c r="X9" s="15">
        <v>858.224565942673</v>
      </c>
      <c r="Y9" s="49">
        <f t="shared" si="4"/>
        <v>0.0373127067522865</v>
      </c>
    </row>
    <row r="10" s="10" customFormat="1" spans="1:25">
      <c r="A10" s="14" t="s">
        <v>116</v>
      </c>
      <c r="B10" s="14">
        <v>204.93</v>
      </c>
      <c r="C10" s="14">
        <v>204.93</v>
      </c>
      <c r="D10" s="11">
        <v>103.14</v>
      </c>
      <c r="E10" s="49">
        <f t="shared" si="5"/>
        <v>0</v>
      </c>
      <c r="F10" s="10">
        <v>198.67</v>
      </c>
      <c r="G10" s="10">
        <v>205.589</v>
      </c>
      <c r="H10" s="10">
        <v>3600</v>
      </c>
      <c r="I10" s="49">
        <f t="shared" si="0"/>
        <v>0.0336545243179353</v>
      </c>
      <c r="J10" s="11">
        <v>200.48</v>
      </c>
      <c r="K10" s="10">
        <v>205.589</v>
      </c>
      <c r="L10" s="10">
        <v>3600</v>
      </c>
      <c r="M10" s="49">
        <f t="shared" si="1"/>
        <v>0.0248505513427275</v>
      </c>
      <c r="N10" s="14">
        <v>204.93</v>
      </c>
      <c r="O10" s="11">
        <v>205.73</v>
      </c>
      <c r="P10" s="11">
        <v>529.25</v>
      </c>
      <c r="Q10" s="49">
        <f t="shared" si="2"/>
        <v>0.00388859184367853</v>
      </c>
      <c r="R10" s="11">
        <v>201.86</v>
      </c>
      <c r="S10" s="10">
        <v>205.589</v>
      </c>
      <c r="T10" s="11">
        <v>1271.62</v>
      </c>
      <c r="U10" s="49">
        <f t="shared" si="3"/>
        <v>0.0181381299583148</v>
      </c>
      <c r="V10" s="11">
        <v>201.17</v>
      </c>
      <c r="W10" s="11">
        <v>204.98</v>
      </c>
      <c r="X10" s="15">
        <v>1016.09150951025</v>
      </c>
      <c r="Y10" s="49">
        <f t="shared" si="4"/>
        <v>0.0185871792369987</v>
      </c>
    </row>
    <row r="11" s="10" customFormat="1" spans="1:25">
      <c r="A11" s="10" t="s">
        <v>117</v>
      </c>
      <c r="B11" s="10">
        <v>204.97</v>
      </c>
      <c r="C11" s="11">
        <v>205.013</v>
      </c>
      <c r="D11" s="11">
        <v>684.55</v>
      </c>
      <c r="E11" s="49">
        <f t="shared" si="5"/>
        <v>0.000209742796798283</v>
      </c>
      <c r="F11" s="10">
        <v>200.5708</v>
      </c>
      <c r="G11" s="10">
        <v>205.589</v>
      </c>
      <c r="H11" s="10">
        <v>3600</v>
      </c>
      <c r="I11" s="49">
        <f t="shared" si="0"/>
        <v>0.024408893471927</v>
      </c>
      <c r="J11" s="11">
        <v>201.54</v>
      </c>
      <c r="K11" s="10">
        <v>205.589</v>
      </c>
      <c r="L11" s="10">
        <v>3600</v>
      </c>
      <c r="M11" s="49">
        <f t="shared" si="1"/>
        <v>0.0196946334677439</v>
      </c>
      <c r="N11" s="10">
        <v>204.97</v>
      </c>
      <c r="O11" s="11">
        <v>205.1</v>
      </c>
      <c r="P11" s="11">
        <v>744.06</v>
      </c>
      <c r="Q11" s="49">
        <f t="shared" si="2"/>
        <v>0.000633837152608462</v>
      </c>
      <c r="R11" s="11">
        <v>201.64</v>
      </c>
      <c r="S11" s="10">
        <v>205.589</v>
      </c>
      <c r="T11" s="11">
        <v>1450.76</v>
      </c>
      <c r="U11" s="49">
        <f t="shared" si="3"/>
        <v>0.0192082261210474</v>
      </c>
      <c r="V11" s="11">
        <v>204.15</v>
      </c>
      <c r="W11" s="11">
        <v>205.26</v>
      </c>
      <c r="X11" s="15">
        <v>1650.64642686825</v>
      </c>
      <c r="Y11" s="49">
        <f t="shared" si="4"/>
        <v>0.00540777550423845</v>
      </c>
    </row>
    <row r="12" s="10" customFormat="1" spans="1:25">
      <c r="A12" s="10" t="s">
        <v>118</v>
      </c>
      <c r="B12" s="10">
        <v>205.34</v>
      </c>
      <c r="C12" s="11">
        <v>205.34</v>
      </c>
      <c r="D12" s="11">
        <v>283.7</v>
      </c>
      <c r="E12" s="49">
        <f t="shared" si="5"/>
        <v>0</v>
      </c>
      <c r="F12" s="10">
        <v>197.1</v>
      </c>
      <c r="G12" s="10">
        <v>205.589</v>
      </c>
      <c r="H12" s="10">
        <v>3600</v>
      </c>
      <c r="I12" s="49">
        <f t="shared" si="0"/>
        <v>0.0412911196610714</v>
      </c>
      <c r="J12" s="10">
        <v>205.34</v>
      </c>
      <c r="K12" s="10">
        <v>205.589</v>
      </c>
      <c r="L12" s="10">
        <v>3600</v>
      </c>
      <c r="M12" s="49">
        <f t="shared" si="1"/>
        <v>0.00121115429327442</v>
      </c>
      <c r="N12" s="10">
        <v>205.34</v>
      </c>
      <c r="O12" s="11">
        <v>205.57</v>
      </c>
      <c r="P12" s="11">
        <v>575.61</v>
      </c>
      <c r="Q12" s="49">
        <f t="shared" si="2"/>
        <v>0.00111884029770876</v>
      </c>
      <c r="R12" s="11">
        <v>205.12</v>
      </c>
      <c r="S12" s="10">
        <v>205.589</v>
      </c>
      <c r="T12" s="11">
        <v>2583.4</v>
      </c>
      <c r="U12" s="49">
        <f t="shared" si="3"/>
        <v>0.00228125045600686</v>
      </c>
      <c r="V12" s="11">
        <v>205.34</v>
      </c>
      <c r="W12" s="11">
        <v>205.58</v>
      </c>
      <c r="X12" s="15">
        <v>1171.65951966669</v>
      </c>
      <c r="Y12" s="49">
        <f t="shared" si="4"/>
        <v>0.00116742873820415</v>
      </c>
    </row>
    <row r="13" s="10" customFormat="1" spans="1:25">
      <c r="A13" s="10" t="s">
        <v>119</v>
      </c>
      <c r="B13" s="10">
        <v>205.59</v>
      </c>
      <c r="C13" s="11">
        <v>205.59</v>
      </c>
      <c r="D13" s="11">
        <v>160.46</v>
      </c>
      <c r="E13" s="49">
        <f t="shared" si="5"/>
        <v>0</v>
      </c>
      <c r="F13" s="10">
        <v>205.589</v>
      </c>
      <c r="G13" s="10">
        <v>205.589</v>
      </c>
      <c r="H13" s="10">
        <v>2674.7</v>
      </c>
      <c r="I13" s="49">
        <f t="shared" si="0"/>
        <v>0</v>
      </c>
      <c r="J13" s="10">
        <v>205.59</v>
      </c>
      <c r="K13" s="10">
        <v>205.589</v>
      </c>
      <c r="L13" s="11">
        <v>1978.6</v>
      </c>
      <c r="M13" s="49">
        <f t="shared" si="1"/>
        <v>-4.86407346698887e-6</v>
      </c>
      <c r="N13" s="10">
        <v>205.59</v>
      </c>
      <c r="O13" s="11">
        <v>205.59</v>
      </c>
      <c r="P13" s="11">
        <v>517.17</v>
      </c>
      <c r="Q13" s="49">
        <f t="shared" si="2"/>
        <v>0</v>
      </c>
      <c r="R13" s="11">
        <v>205.59</v>
      </c>
      <c r="S13" s="10">
        <v>205.589</v>
      </c>
      <c r="T13" s="11">
        <v>988.54</v>
      </c>
      <c r="U13" s="49">
        <f t="shared" si="3"/>
        <v>-4.86407346698887e-6</v>
      </c>
      <c r="V13" s="11">
        <v>205.59</v>
      </c>
      <c r="W13" s="11">
        <v>205.59</v>
      </c>
      <c r="X13" s="15">
        <v>356.743184780356</v>
      </c>
      <c r="Y13" s="49">
        <f t="shared" si="4"/>
        <v>0</v>
      </c>
    </row>
    <row r="14" s="10" customFormat="1" spans="1:25">
      <c r="A14" s="10" t="s">
        <v>120</v>
      </c>
      <c r="B14" s="10">
        <v>205.59</v>
      </c>
      <c r="C14" s="11">
        <v>205.59</v>
      </c>
      <c r="D14" s="11">
        <v>251.19</v>
      </c>
      <c r="E14" s="49">
        <f t="shared" si="5"/>
        <v>0</v>
      </c>
      <c r="F14" s="10">
        <v>205.589</v>
      </c>
      <c r="G14" s="10">
        <v>205.589</v>
      </c>
      <c r="H14" s="10">
        <v>2288.73</v>
      </c>
      <c r="I14" s="49">
        <f t="shared" si="0"/>
        <v>0</v>
      </c>
      <c r="J14" s="10">
        <v>205.59</v>
      </c>
      <c r="K14" s="10">
        <v>205.589</v>
      </c>
      <c r="L14" s="11">
        <v>1619.6</v>
      </c>
      <c r="M14" s="49">
        <f t="shared" si="1"/>
        <v>-4.86407346698887e-6</v>
      </c>
      <c r="N14" s="10">
        <v>205.59</v>
      </c>
      <c r="O14" s="11">
        <v>205.59</v>
      </c>
      <c r="P14" s="11">
        <v>336.87</v>
      </c>
      <c r="Q14" s="49">
        <f t="shared" si="2"/>
        <v>0</v>
      </c>
      <c r="R14" s="11">
        <v>205.59</v>
      </c>
      <c r="S14" s="10">
        <v>205.589</v>
      </c>
      <c r="T14" s="11">
        <v>1142.36</v>
      </c>
      <c r="U14" s="49">
        <f t="shared" si="3"/>
        <v>-4.86407346698887e-6</v>
      </c>
      <c r="V14" s="11">
        <v>205.59</v>
      </c>
      <c r="W14" s="11">
        <v>205.59</v>
      </c>
      <c r="X14" s="15">
        <v>691.286508656735</v>
      </c>
      <c r="Y14" s="49">
        <f t="shared" si="4"/>
        <v>0</v>
      </c>
    </row>
    <row r="15" s="10" customFormat="1" spans="1:25">
      <c r="A15" s="10" t="s">
        <v>23</v>
      </c>
      <c r="B15" s="15">
        <f t="shared" ref="B15:H15" si="6">AVERAGE(B3:B14)</f>
        <v>199.159166666667</v>
      </c>
      <c r="C15" s="15">
        <f t="shared" si="6"/>
        <v>202.949416666667</v>
      </c>
      <c r="D15" s="15">
        <f t="shared" si="6"/>
        <v>747.039166666667</v>
      </c>
      <c r="E15" s="49">
        <f t="shared" si="5"/>
        <v>0.0186758358917843</v>
      </c>
      <c r="F15" s="15">
        <f t="shared" si="6"/>
        <v>191.634033333333</v>
      </c>
      <c r="G15" s="15">
        <f t="shared" si="6"/>
        <v>204.759308333333</v>
      </c>
      <c r="H15" s="15">
        <f t="shared" si="6"/>
        <v>3413.61916666667</v>
      </c>
      <c r="I15" s="49">
        <f t="shared" si="0"/>
        <v>0.0641009930480569</v>
      </c>
      <c r="J15" s="15">
        <f t="shared" ref="J15:L15" si="7">AVERAGE(J3:J14)</f>
        <v>193.514166666667</v>
      </c>
      <c r="K15" s="15">
        <f t="shared" si="7"/>
        <v>204.759308333333</v>
      </c>
      <c r="L15" s="15">
        <f t="shared" si="7"/>
        <v>3299.85</v>
      </c>
      <c r="M15" s="49">
        <f t="shared" si="1"/>
        <v>0.0549188301044675</v>
      </c>
      <c r="N15" s="15">
        <f t="shared" ref="N15:P15" si="8">AVERAGE(N3:N14)</f>
        <v>199.159166666667</v>
      </c>
      <c r="O15" s="15">
        <f t="shared" si="8"/>
        <v>204.255</v>
      </c>
      <c r="P15" s="15">
        <f t="shared" si="8"/>
        <v>987.528333333334</v>
      </c>
      <c r="Q15" s="49">
        <f t="shared" si="2"/>
        <v>0.0249483896763033</v>
      </c>
      <c r="R15" s="15">
        <f t="shared" ref="R15:T15" si="9">AVERAGE(R3:R14)</f>
        <v>194.130833333333</v>
      </c>
      <c r="S15" s="15">
        <f t="shared" si="9"/>
        <v>204.759308333333</v>
      </c>
      <c r="T15" s="15">
        <f t="shared" si="9"/>
        <v>2000.73916666667</v>
      </c>
      <c r="U15" s="49">
        <f t="shared" si="3"/>
        <v>0.0519071640088642</v>
      </c>
      <c r="V15" s="15">
        <f t="shared" ref="V15:X15" si="10">AVERAGE(V3:V14)</f>
        <v>196.010833333333</v>
      </c>
      <c r="W15" s="15">
        <f t="shared" si="10"/>
        <v>204.305</v>
      </c>
      <c r="X15" s="15">
        <f t="shared" si="10"/>
        <v>1302.3959585965</v>
      </c>
      <c r="Y15" s="49">
        <f t="shared" si="4"/>
        <v>0.0405969832684791</v>
      </c>
    </row>
    <row r="16" s="10" customFormat="1" spans="1:25">
      <c r="B16" s="10">
        <f t="shared" ref="B16:Y16" si="11">AVERAGE(B45,B15)</f>
        <v>198.186666666667</v>
      </c>
      <c r="C16" s="10">
        <f t="shared" si="11"/>
        <v>202.210416666667</v>
      </c>
      <c r="D16" s="10">
        <f t="shared" si="11"/>
        <v>1542.02916666667</v>
      </c>
      <c r="E16" s="10">
        <f t="shared" si="11"/>
        <v>0.0199033124580169</v>
      </c>
      <c r="F16" s="10">
        <f t="shared" si="11"/>
        <v>190.8985625</v>
      </c>
      <c r="G16" s="10">
        <f t="shared" si="11"/>
        <v>204.796945833333</v>
      </c>
      <c r="H16" s="10">
        <f t="shared" si="11"/>
        <v>3506.80958333333</v>
      </c>
      <c r="I16" s="10">
        <f t="shared" si="11"/>
        <v>0.0678635204478042</v>
      </c>
      <c r="J16" s="10">
        <f t="shared" si="11"/>
        <v>192.89125</v>
      </c>
      <c r="K16" s="10">
        <f t="shared" si="11"/>
        <v>204.796945833333</v>
      </c>
      <c r="L16" s="10">
        <f t="shared" si="11"/>
        <v>3449.925</v>
      </c>
      <c r="M16" s="10">
        <f t="shared" si="11"/>
        <v>0.0581335565851372</v>
      </c>
      <c r="N16" s="10">
        <f t="shared" si="11"/>
        <v>197.15</v>
      </c>
      <c r="O16" s="10">
        <f t="shared" si="11"/>
        <v>203.139166666667</v>
      </c>
      <c r="P16" s="10">
        <f t="shared" si="11"/>
        <v>1748.1525</v>
      </c>
      <c r="Q16" s="10">
        <f t="shared" si="11"/>
        <v>0.0295081183123378</v>
      </c>
      <c r="R16" s="10">
        <f t="shared" si="11"/>
        <v>192.271666666667</v>
      </c>
      <c r="S16" s="10">
        <f t="shared" si="11"/>
        <v>204.796945833333</v>
      </c>
      <c r="T16" s="10">
        <f t="shared" si="11"/>
        <v>2306.71958333333</v>
      </c>
      <c r="U16" s="10">
        <f t="shared" si="11"/>
        <v>0.0611578016694869</v>
      </c>
      <c r="V16" s="10">
        <f t="shared" si="11"/>
        <v>194.72375</v>
      </c>
      <c r="W16" s="10">
        <f t="shared" si="11"/>
        <v>203.61875</v>
      </c>
      <c r="X16" s="10">
        <f t="shared" si="11"/>
        <v>1907.45464596492</v>
      </c>
      <c r="Y16" s="10">
        <f t="shared" si="11"/>
        <v>0.0436950233217055</v>
      </c>
    </row>
    <row r="17" s="10" customFormat="1" spans="1:25">
      <c r="C17" s="11"/>
      <c r="E17" s="49"/>
      <c r="I17" s="49"/>
      <c r="M17" s="49"/>
      <c r="Q17" s="49"/>
      <c r="U17" s="49"/>
      <c r="Y17" s="49"/>
    </row>
    <row r="18" s="10" customFormat="1" spans="1:25">
      <c r="A18" s="10" t="s">
        <v>121</v>
      </c>
      <c r="B18" s="10">
        <v>210.99</v>
      </c>
      <c r="C18" s="11">
        <v>223.697</v>
      </c>
      <c r="D18" s="10">
        <v>2278.5</v>
      </c>
      <c r="E18" s="49">
        <f t="shared" ref="E18:E29" si="12">(C18-B18)/C18</f>
        <v>0.0568045168240969</v>
      </c>
      <c r="F18" s="10">
        <v>181.713</v>
      </c>
      <c r="G18" s="10">
        <v>223.7142</v>
      </c>
      <c r="H18" s="10">
        <v>3600</v>
      </c>
      <c r="I18" s="49">
        <f t="shared" ref="I18:I29" si="13">(G18-F18)/G18</f>
        <v>0.187744899519119</v>
      </c>
      <c r="J18" s="10">
        <v>182.447</v>
      </c>
      <c r="K18" s="10">
        <v>223.7142</v>
      </c>
      <c r="L18" s="10">
        <v>3600</v>
      </c>
      <c r="M18" s="49">
        <f t="shared" ref="M18:M29" si="14">(K18-J18)/K18</f>
        <v>0.184463927636243</v>
      </c>
      <c r="N18" s="10">
        <v>209.122</v>
      </c>
      <c r="O18" s="10">
        <v>223.6992</v>
      </c>
      <c r="P18" s="10">
        <v>3085.43</v>
      </c>
      <c r="Q18" s="49">
        <f t="shared" ref="Q18:Q29" si="15">(O18-N18)/O18</f>
        <v>0.0651642920493233</v>
      </c>
      <c r="R18" s="10">
        <v>187.11</v>
      </c>
      <c r="S18" s="10">
        <v>223.7109</v>
      </c>
      <c r="T18" s="10">
        <v>3503.78</v>
      </c>
      <c r="U18" s="49">
        <f t="shared" ref="U18:U29" si="16">(S18-R18)/S18</f>
        <v>0.163608031615804</v>
      </c>
      <c r="V18" s="10">
        <v>201.54</v>
      </c>
      <c r="W18" s="10">
        <v>223.7023</v>
      </c>
      <c r="X18" s="10">
        <v>2890.54</v>
      </c>
      <c r="Y18" s="49">
        <f t="shared" ref="Y18:Y29" si="17">(W18-V18)/W18</f>
        <v>0.0990705057569815</v>
      </c>
    </row>
    <row r="19" s="10" customFormat="1" spans="1:25">
      <c r="A19" s="10" t="s">
        <v>122</v>
      </c>
      <c r="B19" s="10">
        <v>223.61</v>
      </c>
      <c r="C19" s="11">
        <v>225.414</v>
      </c>
      <c r="D19" s="11">
        <v>189.47</v>
      </c>
      <c r="E19" s="49">
        <f t="shared" si="12"/>
        <v>0.00800305216179995</v>
      </c>
      <c r="F19" s="11">
        <v>216.84</v>
      </c>
      <c r="G19" s="10">
        <v>227.4779</v>
      </c>
      <c r="H19" s="10">
        <v>2809.85</v>
      </c>
      <c r="I19" s="49">
        <f t="shared" si="13"/>
        <v>0.0467645428413046</v>
      </c>
      <c r="J19" s="11">
        <v>220.93</v>
      </c>
      <c r="K19" s="10">
        <v>227.4779</v>
      </c>
      <c r="L19" s="11">
        <v>2796.55</v>
      </c>
      <c r="M19" s="49">
        <f t="shared" si="14"/>
        <v>0.0287847742571916</v>
      </c>
      <c r="N19" s="10">
        <v>223.61</v>
      </c>
      <c r="O19" s="11">
        <v>225.414</v>
      </c>
      <c r="P19" s="11">
        <v>660.15</v>
      </c>
      <c r="Q19" s="49">
        <f t="shared" si="15"/>
        <v>0.00800305216179995</v>
      </c>
      <c r="R19" s="11">
        <v>221.38</v>
      </c>
      <c r="S19" s="10">
        <v>227.4779</v>
      </c>
      <c r="T19" s="11">
        <v>603.36</v>
      </c>
      <c r="U19" s="49">
        <f t="shared" si="16"/>
        <v>0.0268065601097953</v>
      </c>
      <c r="V19" s="10">
        <v>223.61</v>
      </c>
      <c r="W19" s="10">
        <v>227.4779</v>
      </c>
      <c r="X19" s="11">
        <v>1337.97</v>
      </c>
      <c r="Y19" s="49">
        <f t="shared" si="17"/>
        <v>0.0170034100015869</v>
      </c>
    </row>
    <row r="20" s="10" customFormat="1" spans="1:25">
      <c r="A20" s="10" t="s">
        <v>123</v>
      </c>
      <c r="B20" s="11">
        <v>223.43</v>
      </c>
      <c r="C20" s="11">
        <v>226.98</v>
      </c>
      <c r="D20" s="11">
        <v>632.33</v>
      </c>
      <c r="E20" s="49">
        <f t="shared" si="12"/>
        <v>0.0156401445061238</v>
      </c>
      <c r="F20" s="11">
        <v>219.47</v>
      </c>
      <c r="G20" s="10">
        <v>227.4779</v>
      </c>
      <c r="H20" s="10">
        <v>2073.69</v>
      </c>
      <c r="I20" s="49">
        <f t="shared" si="13"/>
        <v>0.0352029801576329</v>
      </c>
      <c r="J20" s="11">
        <v>219.82</v>
      </c>
      <c r="K20" s="10">
        <v>227.4779</v>
      </c>
      <c r="L20" s="11">
        <v>2027.09</v>
      </c>
      <c r="M20" s="49">
        <f t="shared" si="14"/>
        <v>0.0336643691541025</v>
      </c>
      <c r="N20" s="14">
        <v>223.09</v>
      </c>
      <c r="O20" s="11">
        <v>226.98</v>
      </c>
      <c r="P20" s="11">
        <v>812.94</v>
      </c>
      <c r="Q20" s="49">
        <f t="shared" si="15"/>
        <v>0.0171380738391047</v>
      </c>
      <c r="R20" s="11">
        <v>222.88</v>
      </c>
      <c r="S20" s="10">
        <v>227.4779</v>
      </c>
      <c r="T20" s="11">
        <v>642.62</v>
      </c>
      <c r="U20" s="49">
        <f t="shared" si="16"/>
        <v>0.0202125129518077</v>
      </c>
      <c r="V20" s="14">
        <v>223.4301</v>
      </c>
      <c r="W20" s="10">
        <v>227.4779</v>
      </c>
      <c r="X20" s="11">
        <v>891.53</v>
      </c>
      <c r="Y20" s="49">
        <f t="shared" si="17"/>
        <v>0.0177942560574016</v>
      </c>
    </row>
    <row r="21" s="10" customFormat="1" spans="1:25">
      <c r="A21" s="10" t="s">
        <v>124</v>
      </c>
      <c r="B21" s="11">
        <v>220.96</v>
      </c>
      <c r="C21" s="11">
        <v>227.071</v>
      </c>
      <c r="D21" s="11">
        <v>627.49</v>
      </c>
      <c r="E21" s="49">
        <f t="shared" si="12"/>
        <v>0.0269122873462485</v>
      </c>
      <c r="F21" s="11">
        <v>214.25</v>
      </c>
      <c r="G21" s="10">
        <v>227.4779</v>
      </c>
      <c r="H21" s="10">
        <v>2614.5</v>
      </c>
      <c r="I21" s="49">
        <f t="shared" si="13"/>
        <v>0.05815026426743</v>
      </c>
      <c r="J21" s="11">
        <v>218.66</v>
      </c>
      <c r="K21" s="10">
        <v>227.4779</v>
      </c>
      <c r="L21" s="11">
        <v>2603.36</v>
      </c>
      <c r="M21" s="49">
        <f t="shared" si="14"/>
        <v>0.0387637656229463</v>
      </c>
      <c r="N21" s="11">
        <v>220.96</v>
      </c>
      <c r="O21" s="11">
        <v>227.071</v>
      </c>
      <c r="P21" s="11">
        <v>1030.44</v>
      </c>
      <c r="Q21" s="49">
        <f t="shared" si="15"/>
        <v>0.0269122873462485</v>
      </c>
      <c r="R21" s="11">
        <v>219.44</v>
      </c>
      <c r="S21" s="10">
        <v>227.4779</v>
      </c>
      <c r="T21" s="11">
        <v>819.82</v>
      </c>
      <c r="U21" s="49">
        <f t="shared" si="16"/>
        <v>0.0353348611007927</v>
      </c>
      <c r="V21" s="11">
        <v>220.96</v>
      </c>
      <c r="W21" s="10">
        <v>227.4779</v>
      </c>
      <c r="X21" s="11">
        <v>1145.54</v>
      </c>
      <c r="Y21" s="49">
        <f t="shared" si="17"/>
        <v>0.0286528933140318</v>
      </c>
    </row>
    <row r="22" s="10" customFormat="1" spans="1:25">
      <c r="A22" s="10" t="s">
        <v>125</v>
      </c>
      <c r="B22" s="11">
        <v>223.21</v>
      </c>
      <c r="C22" s="11">
        <v>227.382</v>
      </c>
      <c r="D22" s="11">
        <v>2403.27</v>
      </c>
      <c r="E22" s="49">
        <f t="shared" si="12"/>
        <v>0.0183479782920372</v>
      </c>
      <c r="F22" s="11">
        <v>221.34</v>
      </c>
      <c r="G22" s="10">
        <v>227.4779</v>
      </c>
      <c r="H22" s="10">
        <v>2584.03</v>
      </c>
      <c r="I22" s="49">
        <f t="shared" si="13"/>
        <v>0.0269824013673416</v>
      </c>
      <c r="J22" s="11">
        <v>221.57</v>
      </c>
      <c r="K22" s="10">
        <v>227.4779</v>
      </c>
      <c r="L22" s="11">
        <v>2576.9</v>
      </c>
      <c r="M22" s="49">
        <f t="shared" si="14"/>
        <v>0.0259713141364502</v>
      </c>
      <c r="N22" s="32">
        <v>223.21</v>
      </c>
      <c r="O22" s="11">
        <v>227.382</v>
      </c>
      <c r="P22" s="11">
        <v>2431.75</v>
      </c>
      <c r="Q22" s="49">
        <f t="shared" si="15"/>
        <v>0.0183479782920372</v>
      </c>
      <c r="R22" s="11">
        <v>223.15</v>
      </c>
      <c r="S22" s="10">
        <v>227.4779</v>
      </c>
      <c r="T22" s="11">
        <v>2416.82</v>
      </c>
      <c r="U22" s="49">
        <f t="shared" si="16"/>
        <v>0.0190255844633698</v>
      </c>
      <c r="V22" s="32">
        <v>223.21</v>
      </c>
      <c r="W22" s="10">
        <v>227.4779</v>
      </c>
      <c r="X22" s="11">
        <v>2444.49</v>
      </c>
      <c r="Y22" s="49">
        <f t="shared" si="17"/>
        <v>0.0187618225770503</v>
      </c>
    </row>
    <row r="23" s="10" customFormat="1" spans="1:25">
      <c r="A23" s="10" t="s">
        <v>126</v>
      </c>
      <c r="B23" s="10">
        <v>224.7226</v>
      </c>
      <c r="C23" s="11">
        <v>227.261</v>
      </c>
      <c r="D23" s="11">
        <v>1425.88</v>
      </c>
      <c r="E23" s="49">
        <f t="shared" si="12"/>
        <v>0.0111695363480755</v>
      </c>
      <c r="F23" s="11">
        <v>220.03</v>
      </c>
      <c r="G23" s="10">
        <v>227.4779</v>
      </c>
      <c r="H23" s="11">
        <v>2467.71</v>
      </c>
      <c r="I23" s="49">
        <f t="shared" si="13"/>
        <v>0.0327412025519842</v>
      </c>
      <c r="J23" s="11">
        <v>222.36</v>
      </c>
      <c r="K23" s="10">
        <v>227.4779</v>
      </c>
      <c r="L23" s="11">
        <v>2271.39</v>
      </c>
      <c r="M23" s="49">
        <f t="shared" si="14"/>
        <v>0.02249844929991</v>
      </c>
      <c r="N23" s="11">
        <v>224.72</v>
      </c>
      <c r="O23" s="11">
        <v>227.261</v>
      </c>
      <c r="P23" s="11">
        <v>1627.58</v>
      </c>
      <c r="Q23" s="49">
        <f t="shared" si="15"/>
        <v>0.01118097693841</v>
      </c>
      <c r="R23" s="11">
        <v>224.3</v>
      </c>
      <c r="S23" s="10">
        <v>227.4779</v>
      </c>
      <c r="T23" s="11">
        <v>1648.76</v>
      </c>
      <c r="U23" s="49">
        <f t="shared" si="16"/>
        <v>0.0139701483089126</v>
      </c>
      <c r="V23" s="11">
        <v>224.72</v>
      </c>
      <c r="W23" s="10">
        <v>227.4779</v>
      </c>
      <c r="X23" s="11">
        <v>1913.74</v>
      </c>
      <c r="Y23" s="49">
        <f t="shared" si="17"/>
        <v>0.0121238151046761</v>
      </c>
    </row>
    <row r="24" s="10" customFormat="1" spans="1:25">
      <c r="A24" s="10" t="s">
        <v>127</v>
      </c>
      <c r="B24" s="10">
        <v>223.1529</v>
      </c>
      <c r="C24" s="11">
        <v>226.412</v>
      </c>
      <c r="D24" s="11">
        <v>1172.31</v>
      </c>
      <c r="E24" s="49">
        <f t="shared" si="12"/>
        <v>0.0143945550589192</v>
      </c>
      <c r="F24" s="11">
        <v>221.07</v>
      </c>
      <c r="G24" s="10">
        <v>227.4779</v>
      </c>
      <c r="H24" s="10">
        <v>2984.8</v>
      </c>
      <c r="I24" s="49">
        <f t="shared" si="13"/>
        <v>0.0281693298557795</v>
      </c>
      <c r="J24" s="11">
        <v>221.31</v>
      </c>
      <c r="K24" s="10">
        <v>227.4779</v>
      </c>
      <c r="L24" s="11">
        <v>2969.9</v>
      </c>
      <c r="M24" s="49">
        <f t="shared" si="14"/>
        <v>0.0271142823105014</v>
      </c>
      <c r="N24" s="11">
        <v>223.15</v>
      </c>
      <c r="O24" s="11">
        <v>226.412</v>
      </c>
      <c r="P24" s="11">
        <v>1363.71</v>
      </c>
      <c r="Q24" s="49">
        <f t="shared" si="15"/>
        <v>0.0144073635673021</v>
      </c>
      <c r="R24" s="11">
        <v>222.99</v>
      </c>
      <c r="S24" s="10">
        <v>227.4779</v>
      </c>
      <c r="T24" s="11">
        <v>1583.23</v>
      </c>
      <c r="U24" s="49">
        <f t="shared" si="16"/>
        <v>0.0197289494935552</v>
      </c>
      <c r="V24" s="11">
        <v>223.15</v>
      </c>
      <c r="W24" s="10">
        <v>227.4779</v>
      </c>
      <c r="X24" s="11">
        <v>1517.12</v>
      </c>
      <c r="Y24" s="49">
        <f t="shared" si="17"/>
        <v>0.0190255844633698</v>
      </c>
    </row>
    <row r="25" s="10" customFormat="1" spans="1:25">
      <c r="A25" s="10" t="s">
        <v>128</v>
      </c>
      <c r="B25" s="10">
        <v>227.4779</v>
      </c>
      <c r="C25" s="11">
        <v>227.478</v>
      </c>
      <c r="D25" s="11">
        <v>727.96</v>
      </c>
      <c r="E25" s="49">
        <f t="shared" si="12"/>
        <v>4.39602950629598e-7</v>
      </c>
      <c r="F25" s="11">
        <v>220.6</v>
      </c>
      <c r="G25" s="10">
        <v>227.4779</v>
      </c>
      <c r="H25" s="10">
        <v>1302.77</v>
      </c>
      <c r="I25" s="49">
        <f t="shared" si="13"/>
        <v>0.0302354646319489</v>
      </c>
      <c r="J25" s="11">
        <v>221.35</v>
      </c>
      <c r="K25" s="10">
        <v>227.4779</v>
      </c>
      <c r="L25" s="11">
        <v>1301.67</v>
      </c>
      <c r="M25" s="49">
        <f t="shared" si="14"/>
        <v>0.0269384410529551</v>
      </c>
      <c r="N25" s="11">
        <v>227.48</v>
      </c>
      <c r="O25" s="11">
        <v>227.478</v>
      </c>
      <c r="P25" s="11">
        <v>827.86</v>
      </c>
      <c r="Q25" s="49">
        <f t="shared" si="15"/>
        <v>-8.79205901221713e-6</v>
      </c>
      <c r="R25" s="11">
        <v>227.23</v>
      </c>
      <c r="S25" s="10">
        <v>227.4779</v>
      </c>
      <c r="T25" s="11">
        <v>936.85</v>
      </c>
      <c r="U25" s="49">
        <f t="shared" si="16"/>
        <v>0.00108977619364349</v>
      </c>
      <c r="V25" s="11">
        <v>227.48</v>
      </c>
      <c r="W25" s="10">
        <v>227.4779</v>
      </c>
      <c r="X25" s="11">
        <v>1011.62</v>
      </c>
      <c r="Y25" s="49">
        <f t="shared" si="17"/>
        <v>-9.23166602111435e-6</v>
      </c>
    </row>
    <row r="26" s="10" customFormat="1" spans="1:25">
      <c r="A26" s="10" t="s">
        <v>129</v>
      </c>
      <c r="B26" s="10">
        <v>227.4779</v>
      </c>
      <c r="C26" s="11">
        <v>227.478</v>
      </c>
      <c r="D26" s="11">
        <v>195.45</v>
      </c>
      <c r="E26" s="49">
        <f t="shared" si="12"/>
        <v>4.39602950629598e-7</v>
      </c>
      <c r="F26" s="11">
        <v>221.48</v>
      </c>
      <c r="G26" s="10">
        <v>227.4779</v>
      </c>
      <c r="H26" s="10">
        <v>1067.42</v>
      </c>
      <c r="I26" s="49">
        <f t="shared" si="13"/>
        <v>0.0263669569659295</v>
      </c>
      <c r="J26" s="11">
        <v>221.55</v>
      </c>
      <c r="K26" s="10">
        <v>227.4779</v>
      </c>
      <c r="L26" s="11">
        <v>1053.32</v>
      </c>
      <c r="M26" s="49">
        <f t="shared" si="14"/>
        <v>0.0260592347652233</v>
      </c>
      <c r="N26" s="11">
        <v>227.48</v>
      </c>
      <c r="O26" s="11">
        <v>227.478</v>
      </c>
      <c r="P26" s="11">
        <v>403.95</v>
      </c>
      <c r="Q26" s="49">
        <f t="shared" si="15"/>
        <v>-8.79205901221713e-6</v>
      </c>
      <c r="R26" s="11">
        <v>227.48</v>
      </c>
      <c r="S26" s="10">
        <v>227.4779</v>
      </c>
      <c r="T26" s="11">
        <v>437.01</v>
      </c>
      <c r="U26" s="49">
        <f t="shared" si="16"/>
        <v>-9.23166602111435e-6</v>
      </c>
      <c r="V26" s="11">
        <v>227.48</v>
      </c>
      <c r="W26" s="10">
        <v>227.4779</v>
      </c>
      <c r="X26" s="11">
        <v>521.37</v>
      </c>
      <c r="Y26" s="49">
        <f t="shared" si="17"/>
        <v>-9.23166602111435e-6</v>
      </c>
    </row>
    <row r="27" s="10" customFormat="1" spans="1:25">
      <c r="A27" s="10" t="s">
        <v>130</v>
      </c>
      <c r="B27" s="10">
        <v>223.3512</v>
      </c>
      <c r="C27" s="11">
        <v>227.478</v>
      </c>
      <c r="D27" s="11">
        <v>2679.71</v>
      </c>
      <c r="E27" s="49">
        <f t="shared" si="12"/>
        <v>0.01814153456598</v>
      </c>
      <c r="F27" s="11">
        <v>221.19</v>
      </c>
      <c r="G27" s="10">
        <v>227.4779</v>
      </c>
      <c r="H27" s="10">
        <v>3600</v>
      </c>
      <c r="I27" s="49">
        <f t="shared" si="13"/>
        <v>0.0276418060831404</v>
      </c>
      <c r="J27" s="11">
        <v>222.21</v>
      </c>
      <c r="K27" s="10">
        <v>227.4779</v>
      </c>
      <c r="L27" s="10">
        <v>3600</v>
      </c>
      <c r="M27" s="49">
        <f t="shared" si="14"/>
        <v>0.0231578540157088</v>
      </c>
      <c r="N27" s="11">
        <v>223.35</v>
      </c>
      <c r="O27" s="11">
        <v>227.478</v>
      </c>
      <c r="P27" s="11">
        <v>2714.55</v>
      </c>
      <c r="Q27" s="49">
        <f t="shared" si="15"/>
        <v>0.0181468098013874</v>
      </c>
      <c r="R27" s="11">
        <v>223.28</v>
      </c>
      <c r="S27" s="10">
        <v>227.4779</v>
      </c>
      <c r="T27" s="11">
        <v>2683.67</v>
      </c>
      <c r="U27" s="49">
        <f t="shared" si="16"/>
        <v>0.0184541003763443</v>
      </c>
      <c r="V27" s="11">
        <v>223.35</v>
      </c>
      <c r="W27" s="10">
        <v>227.4779</v>
      </c>
      <c r="X27" s="11">
        <v>3055.03</v>
      </c>
      <c r="Y27" s="49">
        <f t="shared" si="17"/>
        <v>0.0181463781756382</v>
      </c>
    </row>
    <row r="28" s="10" customFormat="1" spans="1:25">
      <c r="A28" s="10" t="s">
        <v>131</v>
      </c>
      <c r="B28" s="10">
        <v>227.4779</v>
      </c>
      <c r="C28" s="11">
        <v>227.478</v>
      </c>
      <c r="D28" s="11">
        <v>3125.58</v>
      </c>
      <c r="E28" s="49">
        <f t="shared" si="12"/>
        <v>4.39602950629598e-7</v>
      </c>
      <c r="F28" s="11">
        <v>223.6</v>
      </c>
      <c r="G28" s="10">
        <v>227.4779</v>
      </c>
      <c r="H28" s="10">
        <v>3600</v>
      </c>
      <c r="I28" s="49">
        <f t="shared" si="13"/>
        <v>0.0170473703159736</v>
      </c>
      <c r="J28" s="11">
        <v>226.39</v>
      </c>
      <c r="K28" s="10">
        <v>227.4779</v>
      </c>
      <c r="L28" s="10">
        <v>3600</v>
      </c>
      <c r="M28" s="49">
        <f t="shared" si="14"/>
        <v>0.0047824426021166</v>
      </c>
      <c r="N28" s="11">
        <v>227.48</v>
      </c>
      <c r="O28" s="11">
        <v>227.478</v>
      </c>
      <c r="P28" s="11">
        <v>3190.34</v>
      </c>
      <c r="Q28" s="49">
        <f t="shared" si="15"/>
        <v>-8.79205901221713e-6</v>
      </c>
      <c r="R28" s="11">
        <v>226.76</v>
      </c>
      <c r="S28" s="10">
        <v>227.4779</v>
      </c>
      <c r="T28" s="11">
        <v>3309.53</v>
      </c>
      <c r="U28" s="49">
        <f t="shared" si="16"/>
        <v>0.00315591096981295</v>
      </c>
      <c r="V28" s="11">
        <v>227.48</v>
      </c>
      <c r="W28" s="10">
        <v>227.4779</v>
      </c>
      <c r="X28" s="11">
        <v>3269.75</v>
      </c>
      <c r="Y28" s="49">
        <f t="shared" si="17"/>
        <v>-9.23166602111435e-6</v>
      </c>
    </row>
    <row r="29" s="10" customFormat="1" spans="1:25">
      <c r="A29" s="10" t="s">
        <v>132</v>
      </c>
      <c r="B29" s="10">
        <v>227.4779</v>
      </c>
      <c r="C29" s="11">
        <v>227.478</v>
      </c>
      <c r="D29" s="11">
        <v>484.51</v>
      </c>
      <c r="E29" s="49">
        <f t="shared" si="12"/>
        <v>4.39602950629598e-7</v>
      </c>
      <c r="F29" s="11">
        <v>224.44</v>
      </c>
      <c r="G29" s="10">
        <v>227.4779</v>
      </c>
      <c r="H29" s="10">
        <v>3600</v>
      </c>
      <c r="I29" s="49">
        <f t="shared" si="13"/>
        <v>0.0133547039075005</v>
      </c>
      <c r="J29" s="11">
        <v>225.02</v>
      </c>
      <c r="K29" s="10">
        <v>227.4779</v>
      </c>
      <c r="L29" s="10">
        <v>3600</v>
      </c>
      <c r="M29" s="49">
        <f t="shared" si="14"/>
        <v>0.0108050056730785</v>
      </c>
      <c r="N29" s="11">
        <v>227.48</v>
      </c>
      <c r="O29" s="11">
        <v>227.478</v>
      </c>
      <c r="P29" s="11">
        <v>554.92</v>
      </c>
      <c r="Q29" s="49">
        <f t="shared" si="15"/>
        <v>-8.79205901221713e-6</v>
      </c>
      <c r="R29" s="11">
        <v>227.41</v>
      </c>
      <c r="S29" s="10">
        <v>227.4779</v>
      </c>
      <c r="T29" s="11">
        <v>912.56</v>
      </c>
      <c r="U29" s="49">
        <f t="shared" si="16"/>
        <v>0.000298490534684946</v>
      </c>
      <c r="V29" s="11">
        <v>227.48</v>
      </c>
      <c r="W29" s="10">
        <v>227.4779</v>
      </c>
      <c r="X29" s="11">
        <v>1087.74</v>
      </c>
      <c r="Y29" s="49">
        <f t="shared" si="17"/>
        <v>-9.23166602111435e-6</v>
      </c>
    </row>
    <row r="30" s="10" customFormat="1" spans="1:25">
      <c r="A30" s="10" t="s">
        <v>23</v>
      </c>
      <c r="B30" s="10">
        <f t="shared" ref="B30:Y30" si="18">AVERAGE(B18:B29)</f>
        <v>223.611525</v>
      </c>
      <c r="C30" s="10">
        <f t="shared" si="18"/>
        <v>226.800583333333</v>
      </c>
      <c r="D30" s="10">
        <f t="shared" si="18"/>
        <v>1328.53833333333</v>
      </c>
      <c r="E30" s="49">
        <f t="shared" si="18"/>
        <v>0.0141179469595903</v>
      </c>
      <c r="F30" s="10">
        <f t="shared" si="18"/>
        <v>217.168583333333</v>
      </c>
      <c r="G30" s="10">
        <f t="shared" si="18"/>
        <v>227.164258333333</v>
      </c>
      <c r="H30" s="10">
        <f t="shared" si="18"/>
        <v>2692.06416666667</v>
      </c>
      <c r="I30" s="49">
        <f t="shared" si="18"/>
        <v>0.0442001602054237</v>
      </c>
      <c r="J30" s="10">
        <f t="shared" si="18"/>
        <v>218.63475</v>
      </c>
      <c r="K30" s="10">
        <f t="shared" si="18"/>
        <v>227.164258333333</v>
      </c>
      <c r="L30" s="10">
        <f t="shared" si="18"/>
        <v>2666.68166666667</v>
      </c>
      <c r="M30" s="49">
        <f t="shared" si="18"/>
        <v>0.0377503217105356</v>
      </c>
      <c r="N30" s="10">
        <f t="shared" si="18"/>
        <v>223.427666666667</v>
      </c>
      <c r="O30" s="10">
        <f t="shared" si="18"/>
        <v>226.800766666667</v>
      </c>
      <c r="P30" s="10">
        <f t="shared" si="18"/>
        <v>1558.635</v>
      </c>
      <c r="Q30" s="49">
        <f t="shared" si="18"/>
        <v>0.0149388054799637</v>
      </c>
      <c r="R30" s="10">
        <f t="shared" si="18"/>
        <v>221.1175</v>
      </c>
      <c r="S30" s="10">
        <f t="shared" si="18"/>
        <v>227.163983333333</v>
      </c>
      <c r="T30" s="10">
        <f t="shared" si="18"/>
        <v>1624.83416666667</v>
      </c>
      <c r="U30" s="49">
        <f t="shared" si="18"/>
        <v>0.0268063078710418</v>
      </c>
      <c r="V30" s="10">
        <f t="shared" si="18"/>
        <v>222.824175</v>
      </c>
      <c r="W30" s="10">
        <f t="shared" si="18"/>
        <v>227.163266666667</v>
      </c>
      <c r="X30" s="10">
        <f t="shared" si="18"/>
        <v>1757.20333333333</v>
      </c>
      <c r="Y30" s="49">
        <f t="shared" si="18"/>
        <v>0.0192118115655543</v>
      </c>
    </row>
    <row r="31" s="10" customFormat="1" spans="1:25">
      <c r="E31" s="49"/>
      <c r="I31" s="49"/>
      <c r="M31" s="49"/>
      <c r="Q31" s="49"/>
      <c r="U31" s="49"/>
      <c r="Y31" s="49"/>
    </row>
    <row r="32" s="10" customFormat="1" spans="1:25">
      <c r="E32" s="49"/>
      <c r="I32" s="49"/>
      <c r="M32" s="49"/>
      <c r="Q32" s="49"/>
      <c r="U32" s="49"/>
      <c r="Y32" s="49"/>
    </row>
    <row r="33" s="10" customFormat="1" spans="1:25">
      <c r="A33" s="10" t="s">
        <v>133</v>
      </c>
      <c r="B33" s="10">
        <v>169.37</v>
      </c>
      <c r="C33" s="11">
        <v>188.343</v>
      </c>
      <c r="D33" s="11">
        <v>1285.63</v>
      </c>
      <c r="E33" s="49">
        <f t="shared" ref="E33:E45" si="19">(C33-B33)/C33</f>
        <v>0.10073642237832</v>
      </c>
      <c r="F33" s="10">
        <v>157.64</v>
      </c>
      <c r="G33" s="10">
        <v>198.78</v>
      </c>
      <c r="H33" s="10">
        <v>3600</v>
      </c>
      <c r="I33" s="49">
        <f t="shared" ref="I33:I45" si="20">(G33-F33)/G33</f>
        <v>0.206962471073549</v>
      </c>
      <c r="J33" s="11">
        <v>160.34</v>
      </c>
      <c r="K33" s="10">
        <v>198.78</v>
      </c>
      <c r="L33" s="10">
        <v>3600</v>
      </c>
      <c r="M33" s="49">
        <f t="shared" ref="M33:M45" si="21">(K33-J33)/K33</f>
        <v>0.193379615655499</v>
      </c>
      <c r="N33" s="11">
        <v>166.38</v>
      </c>
      <c r="O33" s="11">
        <v>191.13</v>
      </c>
      <c r="P33" s="11">
        <v>1748.67</v>
      </c>
      <c r="Q33" s="49">
        <f t="shared" ref="Q33:Q45" si="22">(O33-N33)/O33</f>
        <v>0.129493015225239</v>
      </c>
      <c r="R33" s="11">
        <v>158.2</v>
      </c>
      <c r="S33" s="10">
        <v>198.78</v>
      </c>
      <c r="T33" s="11">
        <v>1835.64</v>
      </c>
      <c r="U33" s="49">
        <f t="shared" ref="U33:U45" si="23">(S33-R33)/S33</f>
        <v>0.204145286246101</v>
      </c>
      <c r="V33" s="11">
        <v>162.84</v>
      </c>
      <c r="W33" s="11">
        <v>191.81</v>
      </c>
      <c r="X33" s="11">
        <v>1500.16</v>
      </c>
      <c r="Y33" s="49">
        <f t="shared" ref="Y33:Y45" si="24">(W33-V33)/W33</f>
        <v>0.15103487826495</v>
      </c>
    </row>
    <row r="34" s="10" customFormat="1" spans="1:25">
      <c r="A34" s="10" t="s">
        <v>134</v>
      </c>
      <c r="B34" s="10">
        <v>189.41</v>
      </c>
      <c r="C34" s="11">
        <v>200.07</v>
      </c>
      <c r="D34" s="11">
        <v>3533.97</v>
      </c>
      <c r="E34" s="49">
        <f t="shared" si="19"/>
        <v>0.0532813515269655</v>
      </c>
      <c r="F34" s="10">
        <v>184.04</v>
      </c>
      <c r="G34" s="10">
        <v>204.472</v>
      </c>
      <c r="H34" s="10">
        <v>3600</v>
      </c>
      <c r="I34" s="49">
        <f t="shared" si="20"/>
        <v>0.0999256621933566</v>
      </c>
      <c r="J34" s="10">
        <v>186.74</v>
      </c>
      <c r="K34" s="10">
        <v>204.472</v>
      </c>
      <c r="L34" s="10">
        <v>3600</v>
      </c>
      <c r="M34" s="49">
        <f t="shared" si="21"/>
        <v>0.0867209202237959</v>
      </c>
      <c r="N34" s="11">
        <v>189.03</v>
      </c>
      <c r="O34" s="11">
        <v>201.09</v>
      </c>
      <c r="P34" s="11">
        <v>3538.95</v>
      </c>
      <c r="Q34" s="49">
        <f t="shared" si="22"/>
        <v>0.0599731463523795</v>
      </c>
      <c r="R34" s="11">
        <v>184.4</v>
      </c>
      <c r="S34" s="10">
        <v>204.472</v>
      </c>
      <c r="T34" s="11">
        <v>3565.25</v>
      </c>
      <c r="U34" s="49">
        <f t="shared" si="23"/>
        <v>0.0981650299307485</v>
      </c>
      <c r="V34" s="11">
        <v>188.43</v>
      </c>
      <c r="W34" s="11">
        <v>201.6</v>
      </c>
      <c r="X34" s="11">
        <v>3537.75</v>
      </c>
      <c r="Y34" s="49">
        <f t="shared" si="24"/>
        <v>0.0653273809523809</v>
      </c>
    </row>
    <row r="35" s="10" customFormat="1" spans="1:25">
      <c r="A35" s="10" t="s">
        <v>135</v>
      </c>
      <c r="B35" s="10">
        <v>196.9</v>
      </c>
      <c r="C35" s="11">
        <v>198.356</v>
      </c>
      <c r="D35" s="11">
        <v>1949.92</v>
      </c>
      <c r="E35" s="49">
        <f t="shared" si="19"/>
        <v>0.00734033757486534</v>
      </c>
      <c r="F35" s="10">
        <v>190.308</v>
      </c>
      <c r="G35" s="10">
        <v>204.462</v>
      </c>
      <c r="H35" s="10">
        <v>3600</v>
      </c>
      <c r="I35" s="49">
        <f t="shared" si="20"/>
        <v>0.0692255773688998</v>
      </c>
      <c r="J35" s="11">
        <v>191.1</v>
      </c>
      <c r="K35" s="10">
        <v>204.462</v>
      </c>
      <c r="L35" s="10">
        <v>3600</v>
      </c>
      <c r="M35" s="49">
        <f t="shared" si="21"/>
        <v>0.0653519969480881</v>
      </c>
      <c r="N35" s="11">
        <v>195.21</v>
      </c>
      <c r="O35" s="11">
        <v>199.58</v>
      </c>
      <c r="P35" s="11">
        <v>2288.72</v>
      </c>
      <c r="Q35" s="49">
        <f t="shared" si="22"/>
        <v>0.0218959815612787</v>
      </c>
      <c r="R35" s="11">
        <v>190.45</v>
      </c>
      <c r="S35" s="10">
        <v>204.462</v>
      </c>
      <c r="T35" s="11">
        <v>2944.69</v>
      </c>
      <c r="U35" s="49">
        <f t="shared" si="23"/>
        <v>0.0685310717884008</v>
      </c>
      <c r="V35" s="11">
        <v>191.54</v>
      </c>
      <c r="W35" s="11">
        <v>200.99</v>
      </c>
      <c r="X35" s="11">
        <v>2038.86</v>
      </c>
      <c r="Y35" s="49">
        <f t="shared" si="24"/>
        <v>0.0470172645405245</v>
      </c>
    </row>
    <row r="36" s="14" customFormat="1" spans="1:25">
      <c r="A36" s="14" t="s">
        <v>136</v>
      </c>
      <c r="B36" s="14">
        <v>196.8</v>
      </c>
      <c r="C36" s="11">
        <v>198.953</v>
      </c>
      <c r="D36" s="11">
        <v>1950.04</v>
      </c>
      <c r="E36" s="49">
        <f t="shared" si="19"/>
        <v>0.0108216513447899</v>
      </c>
      <c r="F36" s="14">
        <v>192.51</v>
      </c>
      <c r="G36" s="14">
        <v>205.589</v>
      </c>
      <c r="H36" s="10">
        <v>3600</v>
      </c>
      <c r="I36" s="49">
        <f t="shared" si="20"/>
        <v>0.0636172168744437</v>
      </c>
      <c r="J36" s="32">
        <v>194.01</v>
      </c>
      <c r="K36" s="14">
        <v>205.589</v>
      </c>
      <c r="L36" s="10">
        <v>3600</v>
      </c>
      <c r="M36" s="49">
        <f t="shared" si="21"/>
        <v>0.0563211066739952</v>
      </c>
      <c r="N36" s="11">
        <v>194.58</v>
      </c>
      <c r="O36" s="11">
        <v>198.98</v>
      </c>
      <c r="P36" s="32">
        <v>2528.94</v>
      </c>
      <c r="Q36" s="49">
        <f t="shared" si="22"/>
        <v>0.0221127751532816</v>
      </c>
      <c r="R36" s="11">
        <v>192.59</v>
      </c>
      <c r="S36" s="14">
        <v>205.589</v>
      </c>
      <c r="T36" s="32">
        <v>2454.63</v>
      </c>
      <c r="U36" s="49">
        <f t="shared" si="23"/>
        <v>0.0632280909970864</v>
      </c>
      <c r="V36" s="32">
        <v>194.05</v>
      </c>
      <c r="W36" s="11">
        <v>202.64</v>
      </c>
      <c r="X36" s="11">
        <v>2312.7</v>
      </c>
      <c r="Y36" s="49">
        <f t="shared" si="24"/>
        <v>0.0423904461113303</v>
      </c>
    </row>
    <row r="37" s="10" customFormat="1" spans="1:25">
      <c r="A37" s="10" t="s">
        <v>137</v>
      </c>
      <c r="B37" s="10">
        <v>197.3</v>
      </c>
      <c r="C37" s="14">
        <v>203.82</v>
      </c>
      <c r="D37" s="11">
        <v>2747.32</v>
      </c>
      <c r="E37" s="49">
        <f t="shared" si="19"/>
        <v>0.0319890099107054</v>
      </c>
      <c r="F37" s="10">
        <v>191.8713</v>
      </c>
      <c r="G37" s="14">
        <v>205.589</v>
      </c>
      <c r="H37" s="10">
        <v>3600</v>
      </c>
      <c r="I37" s="49">
        <f t="shared" si="20"/>
        <v>0.0667239005977947</v>
      </c>
      <c r="J37" s="11">
        <v>194.93</v>
      </c>
      <c r="K37" s="14">
        <v>205.589</v>
      </c>
      <c r="L37" s="10">
        <v>3600</v>
      </c>
      <c r="M37" s="49">
        <f t="shared" si="21"/>
        <v>0.0518461590843868</v>
      </c>
      <c r="N37" s="11">
        <v>195.67</v>
      </c>
      <c r="O37" s="11">
        <v>204.01</v>
      </c>
      <c r="P37" s="11">
        <v>2873.08</v>
      </c>
      <c r="Q37" s="49">
        <f t="shared" si="22"/>
        <v>0.0408803490024999</v>
      </c>
      <c r="R37" s="11">
        <v>192.98</v>
      </c>
      <c r="S37" s="14">
        <v>205.589</v>
      </c>
      <c r="T37" s="11">
        <v>2890.13</v>
      </c>
      <c r="U37" s="49">
        <f t="shared" si="23"/>
        <v>0.0613311023449699</v>
      </c>
      <c r="V37" s="11">
        <v>196.37</v>
      </c>
      <c r="W37" s="11">
        <v>204.91</v>
      </c>
      <c r="X37" s="11">
        <v>2844.42</v>
      </c>
      <c r="Y37" s="49">
        <f t="shared" si="24"/>
        <v>0.0416768337318823</v>
      </c>
    </row>
    <row r="38" s="10" customFormat="1" spans="1:25">
      <c r="A38" s="10" t="s">
        <v>138</v>
      </c>
      <c r="B38" s="10">
        <v>200.16</v>
      </c>
      <c r="C38" s="11">
        <v>201.323</v>
      </c>
      <c r="D38" s="11">
        <v>3374.11</v>
      </c>
      <c r="E38" s="49">
        <f t="shared" si="19"/>
        <v>0.00577678655692599</v>
      </c>
      <c r="F38" s="10">
        <v>197.2638</v>
      </c>
      <c r="G38" s="14">
        <v>205.589</v>
      </c>
      <c r="H38" s="10">
        <v>3600</v>
      </c>
      <c r="I38" s="49">
        <f t="shared" si="20"/>
        <v>0.0404943844271824</v>
      </c>
      <c r="J38" s="11">
        <v>197.36</v>
      </c>
      <c r="K38" s="14">
        <v>205.589</v>
      </c>
      <c r="L38" s="10">
        <v>3600</v>
      </c>
      <c r="M38" s="49">
        <f t="shared" si="21"/>
        <v>0.0400264605596602</v>
      </c>
      <c r="N38" s="11">
        <v>199.91</v>
      </c>
      <c r="O38" s="11">
        <v>201.47</v>
      </c>
      <c r="P38" s="11">
        <v>3416.85</v>
      </c>
      <c r="Q38" s="49">
        <f t="shared" si="22"/>
        <v>0.00774308830098775</v>
      </c>
      <c r="R38" s="11">
        <v>197.28</v>
      </c>
      <c r="S38" s="14">
        <v>205.589</v>
      </c>
      <c r="T38" s="11">
        <v>3441.61</v>
      </c>
      <c r="U38" s="49">
        <f t="shared" si="23"/>
        <v>0.0404155864370175</v>
      </c>
      <c r="V38" s="11">
        <v>198.3</v>
      </c>
      <c r="W38" s="11">
        <v>202.61</v>
      </c>
      <c r="X38" s="11">
        <v>3375.64</v>
      </c>
      <c r="Y38" s="49">
        <f t="shared" si="24"/>
        <v>0.0212723952420907</v>
      </c>
    </row>
    <row r="39" s="10" customFormat="1" spans="1:25">
      <c r="A39" s="10" t="s">
        <v>139</v>
      </c>
      <c r="B39" s="10">
        <v>201.1</v>
      </c>
      <c r="C39" s="11">
        <v>203.158</v>
      </c>
      <c r="D39" s="11">
        <v>2070.93</v>
      </c>
      <c r="E39" s="49">
        <f t="shared" si="19"/>
        <v>0.0101300465647427</v>
      </c>
      <c r="F39" s="10">
        <v>198.243</v>
      </c>
      <c r="G39" s="14">
        <v>205.589</v>
      </c>
      <c r="H39" s="10">
        <v>3600</v>
      </c>
      <c r="I39" s="49">
        <f t="shared" si="20"/>
        <v>0.0357314836883296</v>
      </c>
      <c r="J39" s="11">
        <v>198.63</v>
      </c>
      <c r="K39" s="14">
        <v>205.589</v>
      </c>
      <c r="L39" s="10">
        <v>3600</v>
      </c>
      <c r="M39" s="49">
        <f t="shared" si="21"/>
        <v>0.0338490872566139</v>
      </c>
      <c r="N39" s="11">
        <v>200.28</v>
      </c>
      <c r="O39" s="11">
        <v>203.81</v>
      </c>
      <c r="P39" s="11">
        <v>1835.59</v>
      </c>
      <c r="Q39" s="49">
        <f t="shared" si="22"/>
        <v>0.0173200529905304</v>
      </c>
      <c r="R39" s="11">
        <v>198.35</v>
      </c>
      <c r="S39" s="14">
        <v>205.589</v>
      </c>
      <c r="T39" s="11">
        <v>2190.81</v>
      </c>
      <c r="U39" s="49">
        <f t="shared" si="23"/>
        <v>0.0352110278273643</v>
      </c>
      <c r="V39" s="11">
        <v>198.86</v>
      </c>
      <c r="W39" s="11">
        <v>203.83</v>
      </c>
      <c r="X39" s="11">
        <v>1560.09</v>
      </c>
      <c r="Y39" s="49">
        <f t="shared" si="24"/>
        <v>0.0243830643183045</v>
      </c>
    </row>
    <row r="40" s="10" customFormat="1" spans="1:25">
      <c r="A40" s="10" t="s">
        <v>140</v>
      </c>
      <c r="B40" s="10">
        <v>202.05</v>
      </c>
      <c r="C40" s="11">
        <v>205.166</v>
      </c>
      <c r="D40" s="11">
        <v>3757.92</v>
      </c>
      <c r="E40" s="49">
        <f t="shared" si="19"/>
        <v>0.015187701665968</v>
      </c>
      <c r="F40" s="10">
        <v>199.547</v>
      </c>
      <c r="G40" s="14">
        <v>205.589</v>
      </c>
      <c r="H40" s="10">
        <v>3600</v>
      </c>
      <c r="I40" s="49">
        <f t="shared" si="20"/>
        <v>0.0293887318874064</v>
      </c>
      <c r="J40" s="11">
        <v>200.13</v>
      </c>
      <c r="K40" s="14">
        <v>205.589</v>
      </c>
      <c r="L40" s="10">
        <v>3600</v>
      </c>
      <c r="M40" s="49">
        <f t="shared" si="21"/>
        <v>0.0265529770561655</v>
      </c>
      <c r="N40" s="11">
        <v>200.8</v>
      </c>
      <c r="O40" s="11">
        <v>205.23</v>
      </c>
      <c r="P40" s="11">
        <v>3731.27</v>
      </c>
      <c r="Q40" s="49">
        <f t="shared" si="22"/>
        <v>0.0215855381766797</v>
      </c>
      <c r="R40" s="11">
        <v>199.56</v>
      </c>
      <c r="S40" s="14">
        <v>205.589</v>
      </c>
      <c r="T40" s="11">
        <v>3644.02</v>
      </c>
      <c r="U40" s="49">
        <f t="shared" si="23"/>
        <v>0.0293254989323359</v>
      </c>
      <c r="V40" s="11">
        <v>200.4</v>
      </c>
      <c r="W40" s="11">
        <v>205.48</v>
      </c>
      <c r="X40" s="11">
        <v>3743.27</v>
      </c>
      <c r="Y40" s="49">
        <f t="shared" si="24"/>
        <v>0.0247226007397313</v>
      </c>
    </row>
    <row r="41" s="10" customFormat="1" spans="1:25">
      <c r="A41" s="10" t="s">
        <v>141</v>
      </c>
      <c r="B41" s="10">
        <v>201.78</v>
      </c>
      <c r="C41" s="11">
        <v>204.388</v>
      </c>
      <c r="D41" s="11">
        <v>2718.17</v>
      </c>
      <c r="E41" s="49">
        <f t="shared" si="19"/>
        <v>0.012760044621015</v>
      </c>
      <c r="F41" s="10">
        <v>182.1505</v>
      </c>
      <c r="G41" s="14">
        <v>205.589</v>
      </c>
      <c r="H41" s="10">
        <v>3600</v>
      </c>
      <c r="I41" s="49">
        <f t="shared" si="20"/>
        <v>0.114006585955474</v>
      </c>
      <c r="J41" s="11">
        <v>187.88</v>
      </c>
      <c r="K41" s="14">
        <v>205.589</v>
      </c>
      <c r="L41" s="10">
        <v>3600</v>
      </c>
      <c r="M41" s="49">
        <f t="shared" si="21"/>
        <v>0.0861378770264946</v>
      </c>
      <c r="N41" s="11">
        <v>196.57</v>
      </c>
      <c r="O41" s="11">
        <v>204.4</v>
      </c>
      <c r="P41" s="11">
        <v>2834.5</v>
      </c>
      <c r="Q41" s="49">
        <f t="shared" si="22"/>
        <v>0.038307240704501</v>
      </c>
      <c r="R41" s="11">
        <v>182.32</v>
      </c>
      <c r="S41" s="14">
        <v>205.589</v>
      </c>
      <c r="T41" s="11">
        <v>2901.62</v>
      </c>
      <c r="U41" s="49">
        <f t="shared" si="23"/>
        <v>0.113182125502824</v>
      </c>
      <c r="V41" s="11">
        <v>192.33</v>
      </c>
      <c r="W41" s="11">
        <v>205.25</v>
      </c>
      <c r="X41" s="11">
        <v>2783.9</v>
      </c>
      <c r="Y41" s="49">
        <f t="shared" si="24"/>
        <v>0.0629476248477466</v>
      </c>
    </row>
    <row r="42" s="10" customFormat="1" spans="1:25">
      <c r="A42" s="10" t="s">
        <v>142</v>
      </c>
      <c r="B42" s="10">
        <v>203.79</v>
      </c>
      <c r="C42" s="11">
        <v>204.588</v>
      </c>
      <c r="D42" s="11">
        <v>1155.5</v>
      </c>
      <c r="E42" s="49">
        <f t="shared" si="19"/>
        <v>0.00390052202475219</v>
      </c>
      <c r="F42" s="10">
        <v>183.6335</v>
      </c>
      <c r="G42" s="14">
        <v>205.589</v>
      </c>
      <c r="H42" s="10">
        <v>3600</v>
      </c>
      <c r="I42" s="49">
        <f t="shared" si="20"/>
        <v>0.106793165003964</v>
      </c>
      <c r="J42" s="11">
        <v>190.03</v>
      </c>
      <c r="K42" s="14">
        <v>205.589</v>
      </c>
      <c r="L42" s="10">
        <v>3600</v>
      </c>
      <c r="M42" s="49">
        <f t="shared" si="21"/>
        <v>0.0756801190725185</v>
      </c>
      <c r="N42" s="11">
        <v>196.66</v>
      </c>
      <c r="O42" s="11">
        <v>204.84</v>
      </c>
      <c r="P42" s="11">
        <v>1277.33</v>
      </c>
      <c r="Q42" s="49">
        <f t="shared" si="22"/>
        <v>0.039933606717438</v>
      </c>
      <c r="R42" s="11">
        <v>183.74</v>
      </c>
      <c r="S42" s="14">
        <v>205.589</v>
      </c>
      <c r="T42" s="11">
        <v>1964.26</v>
      </c>
      <c r="U42" s="49">
        <f t="shared" si="23"/>
        <v>0.106275141179732</v>
      </c>
      <c r="V42" s="11">
        <v>191.65</v>
      </c>
      <c r="W42" s="11">
        <v>205.44</v>
      </c>
      <c r="X42" s="11">
        <v>1200.66</v>
      </c>
      <c r="Y42" s="49">
        <f t="shared" si="24"/>
        <v>0.0671242211838006</v>
      </c>
    </row>
    <row r="43" s="10" customFormat="1" spans="1:25">
      <c r="A43" s="10" t="s">
        <v>143</v>
      </c>
      <c r="B43" s="10">
        <v>204.85</v>
      </c>
      <c r="C43" s="11">
        <v>205.033</v>
      </c>
      <c r="D43" s="11">
        <v>1510.47</v>
      </c>
      <c r="E43" s="49">
        <f t="shared" si="19"/>
        <v>0.000892539249779268</v>
      </c>
      <c r="F43" s="10">
        <v>204.85</v>
      </c>
      <c r="G43" s="14">
        <v>205.589</v>
      </c>
      <c r="H43" s="10">
        <v>3600</v>
      </c>
      <c r="I43" s="49">
        <f t="shared" si="20"/>
        <v>0.00359455029208763</v>
      </c>
      <c r="J43" s="10">
        <v>204.85</v>
      </c>
      <c r="K43" s="14">
        <v>205.589</v>
      </c>
      <c r="L43" s="10">
        <v>3600</v>
      </c>
      <c r="M43" s="49">
        <f t="shared" si="21"/>
        <v>0.00359455029208763</v>
      </c>
      <c r="N43" s="11">
        <v>204.85</v>
      </c>
      <c r="O43" s="11">
        <v>205.09</v>
      </c>
      <c r="P43" s="11">
        <v>1730.47</v>
      </c>
      <c r="Q43" s="49">
        <f t="shared" si="22"/>
        <v>0.00117021795309381</v>
      </c>
      <c r="R43" s="11">
        <v>204.85</v>
      </c>
      <c r="S43" s="14">
        <v>205.589</v>
      </c>
      <c r="T43" s="11">
        <v>1804.11</v>
      </c>
      <c r="U43" s="49">
        <f t="shared" si="23"/>
        <v>0.00359455029208763</v>
      </c>
      <c r="V43" s="11">
        <v>204.85</v>
      </c>
      <c r="W43" s="11">
        <v>205.36</v>
      </c>
      <c r="X43" s="11">
        <v>2521.73</v>
      </c>
      <c r="Y43" s="49">
        <f t="shared" si="24"/>
        <v>0.00248344370860937</v>
      </c>
    </row>
    <row r="44" s="10" customFormat="1" spans="1:25">
      <c r="A44" s="10" t="s">
        <v>144</v>
      </c>
      <c r="B44" s="10">
        <v>203.06</v>
      </c>
      <c r="C44" s="11">
        <v>204.459</v>
      </c>
      <c r="D44" s="11">
        <v>1990.25</v>
      </c>
      <c r="E44" s="49">
        <f t="shared" si="19"/>
        <v>0.00684244763008721</v>
      </c>
      <c r="F44" s="10">
        <v>199.9</v>
      </c>
      <c r="G44" s="14">
        <v>205.589</v>
      </c>
      <c r="H44" s="10">
        <v>3600</v>
      </c>
      <c r="I44" s="49">
        <f t="shared" si="20"/>
        <v>0.0276717139535675</v>
      </c>
      <c r="J44" s="11">
        <v>201.22</v>
      </c>
      <c r="K44" s="14">
        <v>205.589</v>
      </c>
      <c r="L44" s="10">
        <v>3600</v>
      </c>
      <c r="M44" s="49">
        <f t="shared" si="21"/>
        <v>0.0212511369771729</v>
      </c>
      <c r="N44" s="11">
        <v>201.75</v>
      </c>
      <c r="O44" s="11">
        <v>204.65</v>
      </c>
      <c r="P44" s="11">
        <v>2300.95</v>
      </c>
      <c r="Q44" s="49">
        <f t="shared" si="22"/>
        <v>0.0141705350598583</v>
      </c>
      <c r="R44" s="11">
        <v>200.23</v>
      </c>
      <c r="S44" s="14">
        <v>205.589</v>
      </c>
      <c r="T44" s="11">
        <v>1715.63</v>
      </c>
      <c r="U44" s="49">
        <f t="shared" si="23"/>
        <v>0.0260665697094689</v>
      </c>
      <c r="V44" s="11">
        <v>201.62</v>
      </c>
      <c r="W44" s="11">
        <v>205.27</v>
      </c>
      <c r="X44" s="11">
        <v>2730.98</v>
      </c>
      <c r="Y44" s="49">
        <f t="shared" si="24"/>
        <v>0.0177814585667657</v>
      </c>
    </row>
    <row r="45" s="10" customFormat="1" spans="1:25">
      <c r="A45" s="10" t="s">
        <v>23</v>
      </c>
      <c r="B45" s="15">
        <f t="shared" ref="B45:H45" si="25">AVERAGE(B33:B44)</f>
        <v>197.214166666667</v>
      </c>
      <c r="C45" s="15">
        <f t="shared" si="25"/>
        <v>201.471416666667</v>
      </c>
      <c r="D45" s="15">
        <f t="shared" si="25"/>
        <v>2337.01916666667</v>
      </c>
      <c r="E45" s="49">
        <f t="shared" si="19"/>
        <v>0.0211307890242495</v>
      </c>
      <c r="F45" s="15">
        <f t="shared" si="25"/>
        <v>190.163091666667</v>
      </c>
      <c r="G45" s="15">
        <f t="shared" si="25"/>
        <v>204.834583333333</v>
      </c>
      <c r="H45" s="15">
        <f t="shared" si="25"/>
        <v>3600</v>
      </c>
      <c r="I45" s="49">
        <f t="shared" si="20"/>
        <v>0.0716260478475515</v>
      </c>
      <c r="J45" s="15">
        <f t="shared" ref="J45:L45" si="26">AVERAGE(J33:J44)</f>
        <v>192.268333333333</v>
      </c>
      <c r="K45" s="15">
        <f t="shared" si="26"/>
        <v>204.834583333333</v>
      </c>
      <c r="L45" s="15">
        <f t="shared" si="26"/>
        <v>3600</v>
      </c>
      <c r="M45" s="49">
        <f t="shared" si="21"/>
        <v>0.0613482830658069</v>
      </c>
      <c r="N45" s="15">
        <f t="shared" ref="N45:P45" si="27">AVERAGE(N33:N44)</f>
        <v>195.140833333333</v>
      </c>
      <c r="O45" s="15">
        <f t="shared" si="27"/>
        <v>202.023333333333</v>
      </c>
      <c r="P45" s="15">
        <f t="shared" si="27"/>
        <v>2508.77666666667</v>
      </c>
      <c r="Q45" s="49">
        <f t="shared" si="22"/>
        <v>0.0340678469483723</v>
      </c>
      <c r="R45" s="15">
        <f t="shared" ref="R45:T45" si="28">AVERAGE(R33:R44)</f>
        <v>190.4125</v>
      </c>
      <c r="S45" s="15">
        <f t="shared" si="28"/>
        <v>204.834583333333</v>
      </c>
      <c r="T45" s="15">
        <f t="shared" si="28"/>
        <v>2612.7</v>
      </c>
      <c r="U45" s="49">
        <f t="shared" si="23"/>
        <v>0.0704084393301097</v>
      </c>
      <c r="V45" s="15">
        <f t="shared" ref="V45:X45" si="29">AVERAGE(V33:V44)</f>
        <v>193.436666666667</v>
      </c>
      <c r="W45" s="15">
        <f t="shared" si="29"/>
        <v>202.9325</v>
      </c>
      <c r="X45" s="15">
        <f t="shared" si="29"/>
        <v>2512.51333333333</v>
      </c>
      <c r="Y45" s="49">
        <f t="shared" si="24"/>
        <v>0.0467930633749319</v>
      </c>
    </row>
    <row r="46" s="10" customFormat="1" spans="1:25">
      <c r="E46" s="49"/>
      <c r="I46" s="49"/>
      <c r="M46" s="49"/>
      <c r="Q46" s="49"/>
      <c r="U46" s="49"/>
      <c r="Y46" s="49"/>
    </row>
    <row r="47" s="10" customFormat="1" spans="1:25">
      <c r="E47" s="49"/>
      <c r="I47" s="49"/>
      <c r="M47" s="49"/>
      <c r="Q47" s="49"/>
      <c r="U47" s="49"/>
      <c r="Y47" s="49"/>
    </row>
    <row r="48" s="10" customFormat="1" spans="1:25">
      <c r="A48" s="10" t="s">
        <v>145</v>
      </c>
      <c r="B48" s="10">
        <v>206.3602</v>
      </c>
      <c r="C48" s="10">
        <v>225.031</v>
      </c>
      <c r="D48" s="11">
        <v>1710.52</v>
      </c>
      <c r="E48" s="49">
        <f t="shared" ref="E48:E59" si="30">(C48-B48)/C48</f>
        <v>0.0829699019246238</v>
      </c>
      <c r="F48" s="10">
        <v>199.6226</v>
      </c>
      <c r="G48" s="10">
        <v>227.4779</v>
      </c>
      <c r="H48" s="10">
        <v>3600</v>
      </c>
      <c r="I48" s="49">
        <f t="shared" ref="I48:I59" si="31">(G48-F48)/G48</f>
        <v>0.122452774533262</v>
      </c>
      <c r="J48" s="11">
        <v>200.755</v>
      </c>
      <c r="K48" s="10">
        <v>227.4779</v>
      </c>
      <c r="L48" s="10">
        <v>3600</v>
      </c>
      <c r="M48" s="49">
        <f t="shared" ref="M48:M59" si="32">(K48-J48)/K48</f>
        <v>0.117474708532126</v>
      </c>
      <c r="N48" s="11">
        <v>204.37</v>
      </c>
      <c r="O48" s="10">
        <v>227.4779</v>
      </c>
      <c r="P48" s="11">
        <v>2534.28</v>
      </c>
      <c r="Q48" s="49">
        <f t="shared" ref="Q48:Q59" si="33">(O48-N48)/O48</f>
        <v>0.101583054881375</v>
      </c>
      <c r="R48" s="11">
        <v>200.9</v>
      </c>
      <c r="S48" s="10">
        <v>227.4779</v>
      </c>
      <c r="T48" s="10">
        <v>3600</v>
      </c>
      <c r="U48" s="49">
        <f t="shared" ref="U48:U59" si="34">(S48-R48)/S48</f>
        <v>0.11683728397352</v>
      </c>
      <c r="V48" s="11">
        <v>203.08</v>
      </c>
      <c r="W48" s="10">
        <v>227.4779</v>
      </c>
      <c r="X48" s="11">
        <v>3104.03</v>
      </c>
      <c r="Y48" s="49">
        <f t="shared" ref="Y48:Y59" si="35">(W48-V48)/W48</f>
        <v>0.107253935437245</v>
      </c>
    </row>
    <row r="49" s="10" customFormat="1" spans="1:25">
      <c r="A49" s="10" t="s">
        <v>146</v>
      </c>
      <c r="B49" s="10">
        <v>212.7172</v>
      </c>
      <c r="C49" s="10">
        <v>226.401</v>
      </c>
      <c r="D49" s="11">
        <v>1263.78</v>
      </c>
      <c r="E49" s="49">
        <f t="shared" si="30"/>
        <v>0.0604405457573068</v>
      </c>
      <c r="F49" s="10">
        <v>206.045</v>
      </c>
      <c r="G49" s="10">
        <v>227.4779</v>
      </c>
      <c r="H49" s="10">
        <v>3600</v>
      </c>
      <c r="I49" s="49">
        <f t="shared" si="31"/>
        <v>0.0942197022216225</v>
      </c>
      <c r="J49" s="11">
        <v>206.654</v>
      </c>
      <c r="K49" s="10">
        <v>227.4779</v>
      </c>
      <c r="L49" s="10">
        <v>3600</v>
      </c>
      <c r="M49" s="49">
        <f t="shared" si="32"/>
        <v>0.0915425190754795</v>
      </c>
      <c r="N49" s="11">
        <v>212.25</v>
      </c>
      <c r="O49" s="10">
        <v>227.4779</v>
      </c>
      <c r="P49" s="11">
        <v>1762</v>
      </c>
      <c r="Q49" s="49">
        <f t="shared" si="33"/>
        <v>0.0669423271447468</v>
      </c>
      <c r="R49" s="11">
        <v>207.22</v>
      </c>
      <c r="S49" s="10">
        <v>227.4779</v>
      </c>
      <c r="T49" s="10">
        <v>3600</v>
      </c>
      <c r="U49" s="49">
        <f t="shared" si="34"/>
        <v>0.0890543652811988</v>
      </c>
      <c r="V49" s="11">
        <v>210.4</v>
      </c>
      <c r="W49" s="10">
        <v>227.4779</v>
      </c>
      <c r="X49" s="11">
        <v>2637.71</v>
      </c>
      <c r="Y49" s="49">
        <f t="shared" si="35"/>
        <v>0.0750749853062649</v>
      </c>
    </row>
    <row r="50" s="10" customFormat="1" spans="1:25">
      <c r="A50" s="10" t="s">
        <v>147</v>
      </c>
      <c r="B50" s="10">
        <v>222.4486</v>
      </c>
      <c r="C50" s="10">
        <v>226.5081</v>
      </c>
      <c r="D50" s="11">
        <v>2805.83</v>
      </c>
      <c r="E50" s="49">
        <f t="shared" si="30"/>
        <v>0.0179220963841912</v>
      </c>
      <c r="F50" s="10">
        <v>218.926</v>
      </c>
      <c r="G50" s="10">
        <v>227.4779</v>
      </c>
      <c r="H50" s="10">
        <v>3600</v>
      </c>
      <c r="I50" s="49">
        <f t="shared" si="31"/>
        <v>0.0375944212602632</v>
      </c>
      <c r="J50" s="11">
        <v>219.956</v>
      </c>
      <c r="K50" s="10">
        <v>227.4779</v>
      </c>
      <c r="L50" s="10">
        <v>3600</v>
      </c>
      <c r="M50" s="49">
        <f t="shared" si="32"/>
        <v>0.033066508878445</v>
      </c>
      <c r="N50" s="11">
        <v>221.96</v>
      </c>
      <c r="O50" s="10">
        <v>227.4779</v>
      </c>
      <c r="P50" s="11">
        <v>3223.25</v>
      </c>
      <c r="Q50" s="49">
        <f t="shared" si="33"/>
        <v>0.0242568618753734</v>
      </c>
      <c r="R50" s="11">
        <v>219.26</v>
      </c>
      <c r="S50" s="10">
        <v>227.4779</v>
      </c>
      <c r="T50" s="10">
        <v>3600</v>
      </c>
      <c r="U50" s="49">
        <f t="shared" si="34"/>
        <v>0.0361261467597512</v>
      </c>
      <c r="V50" s="11">
        <v>221.02</v>
      </c>
      <c r="W50" s="10">
        <v>227.4779</v>
      </c>
      <c r="X50" s="11">
        <v>3600</v>
      </c>
      <c r="Y50" s="49">
        <f t="shared" si="35"/>
        <v>0.0283891314277123</v>
      </c>
    </row>
    <row r="51" s="10" customFormat="1" spans="1:25">
      <c r="A51" s="14" t="s">
        <v>148</v>
      </c>
      <c r="B51" s="10">
        <v>220.0038</v>
      </c>
      <c r="C51" s="10">
        <v>227.4779</v>
      </c>
      <c r="D51" s="11">
        <v>1049.11</v>
      </c>
      <c r="E51" s="49">
        <f t="shared" si="30"/>
        <v>0.032856378575677</v>
      </c>
      <c r="F51" s="10">
        <v>204.3713</v>
      </c>
      <c r="G51" s="10">
        <v>227.4779</v>
      </c>
      <c r="H51" s="10">
        <v>3600</v>
      </c>
      <c r="I51" s="49">
        <f t="shared" si="31"/>
        <v>0.101577340040505</v>
      </c>
      <c r="J51" s="11">
        <v>209.147</v>
      </c>
      <c r="K51" s="10">
        <v>227.4779</v>
      </c>
      <c r="L51" s="10">
        <v>3600</v>
      </c>
      <c r="M51" s="49">
        <f t="shared" si="32"/>
        <v>0.080583212698904</v>
      </c>
      <c r="N51" s="11">
        <v>218.3</v>
      </c>
      <c r="O51" s="10">
        <v>227.4779</v>
      </c>
      <c r="P51" s="11">
        <v>2619.3</v>
      </c>
      <c r="Q51" s="49">
        <f t="shared" si="33"/>
        <v>0.0403463369408632</v>
      </c>
      <c r="R51" s="11">
        <v>205.77</v>
      </c>
      <c r="S51" s="10">
        <v>227.4779</v>
      </c>
      <c r="T51" s="10">
        <v>3600</v>
      </c>
      <c r="U51" s="49">
        <f t="shared" si="34"/>
        <v>0.0954286108672535</v>
      </c>
      <c r="V51" s="11">
        <v>213.48</v>
      </c>
      <c r="W51" s="10">
        <v>227.4779</v>
      </c>
      <c r="X51" s="11">
        <v>3333.07</v>
      </c>
      <c r="Y51" s="49">
        <f t="shared" si="35"/>
        <v>0.061535208475197</v>
      </c>
    </row>
    <row r="52" s="10" customFormat="1" spans="1:25">
      <c r="A52" s="10" t="s">
        <v>149</v>
      </c>
      <c r="B52" s="10">
        <v>221.1572</v>
      </c>
      <c r="C52" s="10">
        <v>227.4779</v>
      </c>
      <c r="D52" s="11">
        <v>1393.05</v>
      </c>
      <c r="E52" s="49">
        <f t="shared" si="30"/>
        <v>0.0277859959143285</v>
      </c>
      <c r="F52" s="10">
        <v>219.042</v>
      </c>
      <c r="G52" s="10">
        <v>227.4779</v>
      </c>
      <c r="H52" s="10">
        <v>3600</v>
      </c>
      <c r="I52" s="49">
        <f t="shared" si="31"/>
        <v>0.0370844816133787</v>
      </c>
      <c r="J52" s="11">
        <v>219.231</v>
      </c>
      <c r="K52" s="10">
        <v>227.4779</v>
      </c>
      <c r="L52" s="10">
        <v>3600</v>
      </c>
      <c r="M52" s="49">
        <f t="shared" si="32"/>
        <v>0.0362536316714723</v>
      </c>
      <c r="N52" s="11">
        <v>221.09</v>
      </c>
      <c r="O52" s="10">
        <v>227.4779</v>
      </c>
      <c r="P52" s="11">
        <v>1516.45</v>
      </c>
      <c r="Q52" s="49">
        <f t="shared" si="33"/>
        <v>0.0280814092270062</v>
      </c>
      <c r="R52" s="11">
        <v>219.78</v>
      </c>
      <c r="S52" s="10">
        <v>227.4779</v>
      </c>
      <c r="T52" s="10">
        <v>3600</v>
      </c>
      <c r="U52" s="49">
        <f t="shared" si="34"/>
        <v>0.0338402104116488</v>
      </c>
      <c r="V52" s="11">
        <v>220.55</v>
      </c>
      <c r="W52" s="10">
        <v>227.4779</v>
      </c>
      <c r="X52" s="11">
        <v>2953.34</v>
      </c>
      <c r="Y52" s="49">
        <f t="shared" si="35"/>
        <v>0.0304552662038818</v>
      </c>
    </row>
    <row r="53" s="10" customFormat="1" spans="1:25">
      <c r="A53" s="10" t="s">
        <v>150</v>
      </c>
      <c r="B53" s="10">
        <v>223.6376</v>
      </c>
      <c r="C53" s="10">
        <v>227.4779</v>
      </c>
      <c r="D53" s="11">
        <v>936.08</v>
      </c>
      <c r="E53" s="49">
        <f t="shared" si="30"/>
        <v>0.0168820795338801</v>
      </c>
      <c r="F53" s="10">
        <v>221.701</v>
      </c>
      <c r="G53" s="10">
        <v>227.4779</v>
      </c>
      <c r="H53" s="10">
        <v>3600</v>
      </c>
      <c r="I53" s="49">
        <f t="shared" si="31"/>
        <v>0.025395434017986</v>
      </c>
      <c r="J53" s="11">
        <v>221.731</v>
      </c>
      <c r="K53" s="10">
        <v>227.4779</v>
      </c>
      <c r="L53" s="10">
        <v>3600</v>
      </c>
      <c r="M53" s="49">
        <f t="shared" si="32"/>
        <v>0.0252635530748262</v>
      </c>
      <c r="N53" s="11">
        <v>223.18</v>
      </c>
      <c r="O53" s="10">
        <v>227.4779</v>
      </c>
      <c r="P53" s="11">
        <v>1120.37</v>
      </c>
      <c r="Q53" s="49">
        <f t="shared" si="33"/>
        <v>0.0188937035202101</v>
      </c>
      <c r="R53" s="11">
        <v>221.74</v>
      </c>
      <c r="S53" s="10">
        <v>227.4779</v>
      </c>
      <c r="T53" s="10">
        <v>3600</v>
      </c>
      <c r="U53" s="49">
        <f t="shared" si="34"/>
        <v>0.0252239887918782</v>
      </c>
      <c r="V53" s="11">
        <v>222.87</v>
      </c>
      <c r="W53" s="10">
        <v>227.4779</v>
      </c>
      <c r="X53" s="11">
        <v>2290.08</v>
      </c>
      <c r="Y53" s="49">
        <f t="shared" si="35"/>
        <v>0.0202564732661942</v>
      </c>
    </row>
    <row r="54" s="10" customFormat="1" spans="1:25">
      <c r="A54" s="10" t="s">
        <v>151</v>
      </c>
      <c r="B54" s="10">
        <v>224.9386</v>
      </c>
      <c r="C54" s="10">
        <v>227.4779</v>
      </c>
      <c r="D54" s="11">
        <v>1690.25</v>
      </c>
      <c r="E54" s="49">
        <f t="shared" si="30"/>
        <v>0.0111628426321854</v>
      </c>
      <c r="F54" s="10">
        <v>214.8721</v>
      </c>
      <c r="G54" s="10">
        <v>227.4779</v>
      </c>
      <c r="H54" s="10">
        <v>3600</v>
      </c>
      <c r="I54" s="49">
        <f t="shared" si="31"/>
        <v>0.0554154931094406</v>
      </c>
      <c r="J54" s="11">
        <v>216.879</v>
      </c>
      <c r="K54" s="10">
        <v>227.4779</v>
      </c>
      <c r="L54" s="10">
        <v>3600</v>
      </c>
      <c r="M54" s="49">
        <f t="shared" si="32"/>
        <v>0.046593097615197</v>
      </c>
      <c r="N54" s="11">
        <v>222.62</v>
      </c>
      <c r="O54" s="10">
        <v>227.4779</v>
      </c>
      <c r="P54" s="11">
        <v>2355.33</v>
      </c>
      <c r="Q54" s="49">
        <f t="shared" si="33"/>
        <v>0.0213554811258588</v>
      </c>
      <c r="R54" s="11">
        <v>217.5</v>
      </c>
      <c r="S54" s="10">
        <v>227.4779</v>
      </c>
      <c r="T54" s="10">
        <v>3600</v>
      </c>
      <c r="U54" s="49">
        <f t="shared" si="34"/>
        <v>0.04386316209179</v>
      </c>
      <c r="V54" s="11">
        <v>222.58</v>
      </c>
      <c r="W54" s="10">
        <v>227.4779</v>
      </c>
      <c r="X54" s="11">
        <v>2514.78</v>
      </c>
      <c r="Y54" s="49">
        <f t="shared" si="35"/>
        <v>0.0215313223834051</v>
      </c>
    </row>
    <row r="55" s="10" customFormat="1" spans="1:25">
      <c r="A55" s="10" t="s">
        <v>152</v>
      </c>
      <c r="B55" s="10">
        <v>225.3327</v>
      </c>
      <c r="C55" s="10">
        <v>227.4779</v>
      </c>
      <c r="D55" s="11">
        <v>2439.36</v>
      </c>
      <c r="E55" s="49">
        <f t="shared" si="30"/>
        <v>0.00943036664221015</v>
      </c>
      <c r="F55" s="10">
        <v>222.509</v>
      </c>
      <c r="G55" s="10">
        <v>227.4779</v>
      </c>
      <c r="H55" s="10">
        <v>3600</v>
      </c>
      <c r="I55" s="49">
        <f t="shared" si="31"/>
        <v>0.02184344061555</v>
      </c>
      <c r="J55" s="11">
        <v>222.632</v>
      </c>
      <c r="K55" s="10">
        <v>227.4779</v>
      </c>
      <c r="L55" s="10">
        <v>3600</v>
      </c>
      <c r="M55" s="49">
        <f t="shared" si="32"/>
        <v>0.0213027287485949</v>
      </c>
      <c r="N55" s="11">
        <v>224.58</v>
      </c>
      <c r="O55" s="10">
        <v>227.4779</v>
      </c>
      <c r="P55" s="11">
        <v>3106.36</v>
      </c>
      <c r="Q55" s="49">
        <f t="shared" si="33"/>
        <v>0.0127392595060883</v>
      </c>
      <c r="R55" s="11">
        <v>222.55</v>
      </c>
      <c r="S55" s="10">
        <v>227.4779</v>
      </c>
      <c r="T55" s="10">
        <v>3600</v>
      </c>
      <c r="U55" s="49">
        <f t="shared" si="34"/>
        <v>0.0216632033265649</v>
      </c>
      <c r="V55" s="11">
        <v>223.98</v>
      </c>
      <c r="W55" s="10">
        <v>227.4779</v>
      </c>
      <c r="X55" s="11">
        <v>3449.33</v>
      </c>
      <c r="Y55" s="49">
        <f t="shared" si="35"/>
        <v>0.0153768783692834</v>
      </c>
    </row>
    <row r="56" s="10" customFormat="1" spans="1:25">
      <c r="A56" s="10" t="s">
        <v>153</v>
      </c>
      <c r="B56" s="10">
        <v>226.0532</v>
      </c>
      <c r="C56" s="10">
        <v>227.4779</v>
      </c>
      <c r="D56" s="11">
        <v>597.02</v>
      </c>
      <c r="E56" s="49">
        <f t="shared" si="30"/>
        <v>0.00626302599065668</v>
      </c>
      <c r="F56" s="10">
        <v>225.113</v>
      </c>
      <c r="G56" s="10">
        <v>227.4779</v>
      </c>
      <c r="H56" s="10">
        <v>3600</v>
      </c>
      <c r="I56" s="49">
        <f t="shared" si="31"/>
        <v>0.0103961747492834</v>
      </c>
      <c r="J56" s="11">
        <v>225.373</v>
      </c>
      <c r="K56" s="10">
        <v>227.4779</v>
      </c>
      <c r="L56" s="10">
        <v>3600</v>
      </c>
      <c r="M56" s="49">
        <f t="shared" si="32"/>
        <v>0.00925320657523221</v>
      </c>
      <c r="N56" s="11">
        <v>225.99</v>
      </c>
      <c r="O56" s="10">
        <v>227.4779</v>
      </c>
      <c r="P56" s="11">
        <v>906.48</v>
      </c>
      <c r="Q56" s="49">
        <f t="shared" si="33"/>
        <v>0.00654085517757987</v>
      </c>
      <c r="R56" s="11">
        <v>225.22</v>
      </c>
      <c r="S56" s="10">
        <v>227.4779</v>
      </c>
      <c r="T56" s="10">
        <v>3600</v>
      </c>
      <c r="U56" s="49">
        <f t="shared" si="34"/>
        <v>0.00992579938534691</v>
      </c>
      <c r="V56" s="11">
        <v>225.58</v>
      </c>
      <c r="W56" s="10">
        <v>227.4779</v>
      </c>
      <c r="X56" s="11">
        <v>1258.99</v>
      </c>
      <c r="Y56" s="49">
        <f t="shared" si="35"/>
        <v>0.00834322806742981</v>
      </c>
    </row>
    <row r="57" s="10" customFormat="1" spans="1:25">
      <c r="A57" s="10" t="s">
        <v>154</v>
      </c>
      <c r="B57" s="10">
        <v>225.9383</v>
      </c>
      <c r="C57" s="10">
        <v>227.4779</v>
      </c>
      <c r="D57" s="11">
        <v>1248.62</v>
      </c>
      <c r="E57" s="49">
        <f t="shared" si="30"/>
        <v>0.00676813000295856</v>
      </c>
      <c r="F57" s="10">
        <v>223.92</v>
      </c>
      <c r="G57" s="10">
        <v>227.4779</v>
      </c>
      <c r="H57" s="10">
        <v>3600</v>
      </c>
      <c r="I57" s="49">
        <f t="shared" si="31"/>
        <v>0.0156406402556029</v>
      </c>
      <c r="J57" s="11">
        <v>224.116</v>
      </c>
      <c r="K57" s="10">
        <v>227.4779</v>
      </c>
      <c r="L57" s="10">
        <v>3600</v>
      </c>
      <c r="M57" s="49">
        <f t="shared" si="32"/>
        <v>0.0147790180936258</v>
      </c>
      <c r="N57" s="11">
        <v>225.94</v>
      </c>
      <c r="O57" s="10">
        <v>227.4779</v>
      </c>
      <c r="P57" s="11">
        <v>2504.68</v>
      </c>
      <c r="Q57" s="49">
        <f t="shared" si="33"/>
        <v>0.00676065674951284</v>
      </c>
      <c r="R57" s="11">
        <v>224.51</v>
      </c>
      <c r="S57" s="10">
        <v>227.4779</v>
      </c>
      <c r="T57" s="10">
        <v>3600</v>
      </c>
      <c r="U57" s="49">
        <f t="shared" si="34"/>
        <v>0.0130469817067944</v>
      </c>
      <c r="V57" s="11">
        <v>225.36</v>
      </c>
      <c r="W57" s="10">
        <v>227.4779</v>
      </c>
      <c r="X57" s="11">
        <v>3600</v>
      </c>
      <c r="Y57" s="49">
        <f t="shared" si="35"/>
        <v>0.00931035498393467</v>
      </c>
    </row>
    <row r="58" s="10" customFormat="1" spans="1:25">
      <c r="A58" s="10" t="s">
        <v>155</v>
      </c>
      <c r="B58" s="10">
        <v>227.0008</v>
      </c>
      <c r="C58" s="10">
        <v>227.4779</v>
      </c>
      <c r="D58" s="11">
        <v>1310.67</v>
      </c>
      <c r="E58" s="49">
        <f t="shared" si="30"/>
        <v>0.00209734659938397</v>
      </c>
      <c r="F58" s="10">
        <v>225.71</v>
      </c>
      <c r="G58" s="10">
        <v>227.4779</v>
      </c>
      <c r="H58" s="10">
        <v>3600</v>
      </c>
      <c r="I58" s="49">
        <f t="shared" si="31"/>
        <v>0.00777174398040424</v>
      </c>
      <c r="J58" s="11">
        <v>225.734</v>
      </c>
      <c r="K58" s="10">
        <v>227.4779</v>
      </c>
      <c r="L58" s="10">
        <v>3600</v>
      </c>
      <c r="M58" s="49">
        <f t="shared" si="32"/>
        <v>0.00766623922587643</v>
      </c>
      <c r="N58" s="11">
        <v>226.99</v>
      </c>
      <c r="O58" s="10">
        <v>227.4779</v>
      </c>
      <c r="P58" s="11">
        <v>2374.74</v>
      </c>
      <c r="Q58" s="49">
        <f t="shared" si="33"/>
        <v>0.00214482373892143</v>
      </c>
      <c r="R58" s="11">
        <v>225.8</v>
      </c>
      <c r="S58" s="10">
        <v>227.4779</v>
      </c>
      <c r="T58" s="10">
        <v>3600</v>
      </c>
      <c r="U58" s="49">
        <f t="shared" si="34"/>
        <v>0.00737610115092496</v>
      </c>
      <c r="V58" s="11">
        <v>226.87</v>
      </c>
      <c r="W58" s="10">
        <v>227.4779</v>
      </c>
      <c r="X58" s="11">
        <v>3600</v>
      </c>
      <c r="Y58" s="49">
        <f t="shared" si="35"/>
        <v>0.00267234751156047</v>
      </c>
    </row>
    <row r="59" s="10" customFormat="1" spans="1:25">
      <c r="A59" s="10" t="s">
        <v>156</v>
      </c>
      <c r="B59" s="10">
        <v>227.392</v>
      </c>
      <c r="C59" s="10">
        <v>227.4779</v>
      </c>
      <c r="D59" s="11">
        <v>2647.34</v>
      </c>
      <c r="E59" s="49">
        <f t="shared" si="30"/>
        <v>0.000377619100580801</v>
      </c>
      <c r="F59" s="10">
        <v>225.983</v>
      </c>
      <c r="G59" s="10">
        <v>227.4779</v>
      </c>
      <c r="H59" s="10">
        <v>3600</v>
      </c>
      <c r="I59" s="49">
        <f t="shared" si="31"/>
        <v>0.0065716273976505</v>
      </c>
      <c r="J59" s="11">
        <v>226.381</v>
      </c>
      <c r="K59" s="10">
        <v>227.4779</v>
      </c>
      <c r="L59" s="10">
        <v>3600</v>
      </c>
      <c r="M59" s="49">
        <f t="shared" si="32"/>
        <v>0.00482200688506446</v>
      </c>
      <c r="N59" s="11">
        <v>227.15</v>
      </c>
      <c r="O59" s="10">
        <v>227.4779</v>
      </c>
      <c r="P59" s="11">
        <v>2990.05</v>
      </c>
      <c r="Q59" s="49">
        <f t="shared" si="33"/>
        <v>0.0014414587087361</v>
      </c>
      <c r="R59" s="11">
        <v>226.19</v>
      </c>
      <c r="S59" s="10">
        <v>227.4779</v>
      </c>
      <c r="T59" s="10">
        <v>3600</v>
      </c>
      <c r="U59" s="49">
        <f t="shared" si="34"/>
        <v>0.00566164888984823</v>
      </c>
      <c r="V59" s="11">
        <v>226.91</v>
      </c>
      <c r="W59" s="10">
        <v>227.4779</v>
      </c>
      <c r="X59" s="11">
        <v>3600</v>
      </c>
      <c r="Y59" s="49">
        <f t="shared" si="35"/>
        <v>0.00249650625401416</v>
      </c>
    </row>
    <row r="60" s="10" customFormat="1" spans="1:25">
      <c r="A60" s="10" t="s">
        <v>23</v>
      </c>
      <c r="B60" s="10">
        <f t="shared" ref="B60:Y60" si="36">AVERAGE(B48:B59)</f>
        <v>221.915016666667</v>
      </c>
      <c r="C60" s="10">
        <f t="shared" si="36"/>
        <v>227.103433333333</v>
      </c>
      <c r="D60" s="10">
        <f t="shared" si="36"/>
        <v>1590.96916666667</v>
      </c>
      <c r="E60" s="49">
        <f t="shared" si="36"/>
        <v>0.0229130274214986</v>
      </c>
      <c r="F60" s="10">
        <f t="shared" si="36"/>
        <v>217.317916666667</v>
      </c>
      <c r="G60" s="10">
        <f t="shared" si="36"/>
        <v>227.4779</v>
      </c>
      <c r="H60" s="10">
        <f t="shared" si="36"/>
        <v>3600</v>
      </c>
      <c r="I60" s="49">
        <f t="shared" si="36"/>
        <v>0.0446636061495791</v>
      </c>
      <c r="J60" s="10">
        <f t="shared" si="36"/>
        <v>218.21575</v>
      </c>
      <c r="K60" s="10">
        <f t="shared" si="36"/>
        <v>227.4779</v>
      </c>
      <c r="L60" s="10">
        <f t="shared" si="36"/>
        <v>3600</v>
      </c>
      <c r="M60" s="49">
        <f t="shared" si="36"/>
        <v>0.0407167025895703</v>
      </c>
      <c r="N60" s="10">
        <f t="shared" si="36"/>
        <v>221.201666666667</v>
      </c>
      <c r="O60" s="10">
        <f t="shared" si="36"/>
        <v>227.4779</v>
      </c>
      <c r="P60" s="10">
        <f t="shared" si="36"/>
        <v>2251.1075</v>
      </c>
      <c r="Q60" s="49">
        <f t="shared" si="36"/>
        <v>0.0275905190496894</v>
      </c>
      <c r="R60" s="10">
        <f t="shared" si="36"/>
        <v>218.036666666667</v>
      </c>
      <c r="S60" s="10">
        <f t="shared" si="36"/>
        <v>227.4779</v>
      </c>
      <c r="T60" s="10">
        <f t="shared" si="36"/>
        <v>3600</v>
      </c>
      <c r="U60" s="49">
        <f t="shared" si="36"/>
        <v>0.0415039585530433</v>
      </c>
      <c r="V60" s="10">
        <f t="shared" si="36"/>
        <v>220.223333333333</v>
      </c>
      <c r="W60" s="10">
        <f t="shared" si="36"/>
        <v>227.4779</v>
      </c>
      <c r="X60" s="10">
        <f t="shared" si="36"/>
        <v>2995.11083333333</v>
      </c>
      <c r="Y60" s="49">
        <f t="shared" si="36"/>
        <v>0.0318913031405102</v>
      </c>
    </row>
    <row r="61" s="10" customFormat="1" spans="1:25">
      <c r="B61" s="10">
        <f t="shared" ref="B61:Y61" si="37">AVERAGE(B60,B30)</f>
        <v>222.763270833333</v>
      </c>
      <c r="C61" s="10">
        <f t="shared" si="37"/>
        <v>226.952008333333</v>
      </c>
      <c r="D61" s="10">
        <f t="shared" si="37"/>
        <v>1459.75375</v>
      </c>
      <c r="E61" s="10">
        <f t="shared" si="37"/>
        <v>0.0185154871905444</v>
      </c>
      <c r="F61" s="10">
        <f t="shared" si="37"/>
        <v>217.24325</v>
      </c>
      <c r="G61" s="10">
        <f t="shared" si="37"/>
        <v>227.321079166667</v>
      </c>
      <c r="H61" s="10">
        <f t="shared" si="37"/>
        <v>3146.03208333333</v>
      </c>
      <c r="I61" s="10">
        <f t="shared" si="37"/>
        <v>0.0444318831775014</v>
      </c>
      <c r="J61" s="10">
        <f t="shared" si="37"/>
        <v>218.42525</v>
      </c>
      <c r="K61" s="10">
        <f t="shared" si="37"/>
        <v>227.321079166667</v>
      </c>
      <c r="L61" s="10">
        <f t="shared" si="37"/>
        <v>3133.34083333333</v>
      </c>
      <c r="M61" s="10">
        <f t="shared" si="37"/>
        <v>0.0392335121500529</v>
      </c>
      <c r="N61" s="10">
        <f t="shared" si="37"/>
        <v>222.314666666667</v>
      </c>
      <c r="O61" s="10">
        <f t="shared" si="37"/>
        <v>227.139333333333</v>
      </c>
      <c r="P61" s="10">
        <f t="shared" si="37"/>
        <v>1904.87125</v>
      </c>
      <c r="Q61" s="10">
        <f t="shared" si="37"/>
        <v>0.0212646622648265</v>
      </c>
      <c r="R61" s="10">
        <f t="shared" si="37"/>
        <v>219.577083333333</v>
      </c>
      <c r="S61" s="10">
        <f t="shared" si="37"/>
        <v>227.320941666667</v>
      </c>
      <c r="T61" s="10">
        <f t="shared" si="37"/>
        <v>2612.41708333333</v>
      </c>
      <c r="U61" s="10">
        <f t="shared" si="37"/>
        <v>0.0341551332120426</v>
      </c>
      <c r="V61" s="10">
        <f t="shared" si="37"/>
        <v>221.523754166667</v>
      </c>
      <c r="W61" s="10">
        <f t="shared" si="37"/>
        <v>227.320583333333</v>
      </c>
      <c r="X61" s="10">
        <f t="shared" si="37"/>
        <v>2376.15708333333</v>
      </c>
      <c r="Y61" s="10">
        <f t="shared" si="37"/>
        <v>0.0255515573530323</v>
      </c>
    </row>
    <row r="62" s="10" customFormat="1"/>
  </sheetData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54"/>
  <sheetViews>
    <sheetView workbookViewId="0">
      <selection activeCell="C24" sqref="C24"/>
    </sheetView>
  </sheetViews>
  <sheetFormatPr defaultColWidth="8.72727272727273" defaultRowHeight="14"/>
  <cols>
    <col min="1" max="1" width="21.4545454545455" customWidth="1"/>
    <col min="2" max="2" width="22.7272727272727" customWidth="1"/>
    <col min="3" max="3" width="19.4545454545455" customWidth="1"/>
    <col min="4" max="4" width="18.6363636363636" customWidth="1"/>
    <col min="5" max="5" width="16.4545454545455" customWidth="1"/>
    <col min="6" max="6" width="16.7272727272727" customWidth="1"/>
    <col min="7" max="7" width="10.9090909090909" customWidth="1"/>
    <col min="8" max="8" width="14" customWidth="1"/>
    <col min="9" max="9" width="11.4545454545455" customWidth="1"/>
    <col min="10" max="10" width="12.4545454545455" customWidth="1"/>
    <col min="11" max="11" width="15.8181818181818" customWidth="1"/>
    <col min="12" max="12" width="10.2727272727273" customWidth="1"/>
    <col min="13" max="13" width="8.63636363636364" customWidth="1"/>
    <col min="14" max="14" width="17.2727272727273" customWidth="1"/>
    <col min="15" max="15" width="14" customWidth="1"/>
    <col min="16" max="16" width="16.4545454545455" customWidth="1"/>
    <col min="17" max="17" width="12.9090909090909" customWidth="1"/>
    <col min="18" max="18" width="17.1818181818182" customWidth="1"/>
    <col min="19" max="19" width="15.0909090909091" customWidth="1"/>
    <col min="20" max="20" width="11.3636363636364" customWidth="1"/>
    <col min="21" max="21" width="16.4545454545455" customWidth="1"/>
    <col min="22" max="22" width="12.8181818181818" customWidth="1"/>
    <col min="23" max="23" width="15.5454545454545" customWidth="1"/>
    <col min="24" max="24" width="15.1818181818182"/>
    <col min="25" max="25" width="12.8181818181818"/>
  </cols>
  <sheetData>
    <row r="1" spans="1:25">
      <c r="A1" s="38" t="s">
        <v>0</v>
      </c>
      <c r="B1" s="38" t="s">
        <v>1</v>
      </c>
      <c r="C1" s="38"/>
      <c r="D1" s="38" t="s">
        <v>3</v>
      </c>
      <c r="E1" s="2" t="s">
        <v>10</v>
      </c>
      <c r="F1" s="2" t="s">
        <v>2</v>
      </c>
      <c r="G1" s="2"/>
      <c r="H1" s="2" t="s">
        <v>3</v>
      </c>
      <c r="I1" s="2" t="s">
        <v>10</v>
      </c>
      <c r="J1" s="2" t="s">
        <v>4</v>
      </c>
      <c r="K1" s="2"/>
      <c r="L1" s="2" t="s">
        <v>3</v>
      </c>
      <c r="M1" s="2" t="s">
        <v>10</v>
      </c>
      <c r="N1" s="2" t="s">
        <v>5</v>
      </c>
      <c r="O1" s="2"/>
      <c r="P1" s="2" t="s">
        <v>3</v>
      </c>
      <c r="Q1" s="2" t="s">
        <v>10</v>
      </c>
      <c r="R1" s="2" t="s">
        <v>6</v>
      </c>
      <c r="S1" s="2"/>
      <c r="T1" s="2" t="s">
        <v>3</v>
      </c>
      <c r="U1" s="2" t="s">
        <v>10</v>
      </c>
      <c r="V1" s="2" t="s">
        <v>7</v>
      </c>
      <c r="W1" s="2"/>
      <c r="X1" s="2" t="s">
        <v>3</v>
      </c>
      <c r="Y1" s="2" t="s">
        <v>10</v>
      </c>
    </row>
    <row r="2" spans="1:25">
      <c r="A2" s="38"/>
      <c r="B2" s="38" t="s">
        <v>8</v>
      </c>
      <c r="C2" s="38" t="s">
        <v>9</v>
      </c>
      <c r="D2" s="38"/>
      <c r="E2" s="38"/>
      <c r="F2" s="38" t="s">
        <v>8</v>
      </c>
      <c r="G2" s="38" t="s">
        <v>9</v>
      </c>
      <c r="H2" s="38"/>
      <c r="I2" s="38"/>
      <c r="J2" s="38"/>
      <c r="K2" s="38"/>
      <c r="L2" s="38"/>
    </row>
    <row r="3" s="36" customFormat="1" spans="1:25">
      <c r="A3" s="39" t="s">
        <v>157</v>
      </c>
      <c r="B3" s="40">
        <v>137.32</v>
      </c>
      <c r="C3" s="40">
        <v>193.37</v>
      </c>
      <c r="D3" s="40">
        <v>1410.56</v>
      </c>
      <c r="E3" s="41">
        <f>(C3-B3)/C3</f>
        <v>0.289858819878989</v>
      </c>
      <c r="F3" s="36" t="s">
        <v>158</v>
      </c>
      <c r="G3" s="40">
        <v>318.2</v>
      </c>
      <c r="H3" s="36">
        <v>3600</v>
      </c>
      <c r="I3" s="36" t="s">
        <v>158</v>
      </c>
      <c r="J3" s="36" t="s">
        <v>158</v>
      </c>
      <c r="K3" s="35">
        <v>358.47</v>
      </c>
      <c r="L3" s="36">
        <v>3600</v>
      </c>
      <c r="M3" s="36" t="s">
        <v>158</v>
      </c>
      <c r="N3" s="35">
        <v>110.11</v>
      </c>
      <c r="O3" s="35">
        <v>204.44</v>
      </c>
      <c r="P3" s="35">
        <v>2520.91</v>
      </c>
      <c r="Q3" s="42">
        <f>(O3-N3)/O3</f>
        <v>0.461406769712385</v>
      </c>
      <c r="R3" s="35">
        <v>104.02</v>
      </c>
      <c r="S3" s="35">
        <v>306.64</v>
      </c>
      <c r="T3" s="36">
        <v>3600</v>
      </c>
      <c r="U3" s="42">
        <f>(S3-R3)/S3</f>
        <v>0.660774849986955</v>
      </c>
      <c r="V3" s="35">
        <v>105.86</v>
      </c>
      <c r="W3" s="35">
        <v>208.5</v>
      </c>
      <c r="X3" s="35">
        <v>3108.45</v>
      </c>
      <c r="Y3" s="42">
        <f>(W3-V3)/W3</f>
        <v>0.492278177458034</v>
      </c>
    </row>
    <row r="4" s="36" customFormat="1" spans="1:25">
      <c r="A4" s="39" t="s">
        <v>159</v>
      </c>
      <c r="B4" s="40">
        <v>156.18</v>
      </c>
      <c r="C4" s="40">
        <v>212.23</v>
      </c>
      <c r="D4" s="40">
        <v>1294.39</v>
      </c>
      <c r="E4" s="41">
        <f t="shared" ref="E4:E26" si="0">(C4-B4)/C4</f>
        <v>0.264100268576544</v>
      </c>
      <c r="F4" s="36" t="s">
        <v>158</v>
      </c>
      <c r="G4" s="40">
        <v>415.79</v>
      </c>
      <c r="H4" s="36">
        <v>3600</v>
      </c>
      <c r="I4" s="36" t="s">
        <v>158</v>
      </c>
      <c r="J4" s="36" t="s">
        <v>158</v>
      </c>
      <c r="K4" s="35">
        <v>459.74</v>
      </c>
      <c r="L4" s="36">
        <v>3600</v>
      </c>
      <c r="M4" s="36" t="s">
        <v>158</v>
      </c>
      <c r="N4" s="35">
        <v>126.49</v>
      </c>
      <c r="O4" s="35">
        <v>239.03</v>
      </c>
      <c r="P4" s="35">
        <v>2168.55</v>
      </c>
      <c r="Q4" s="42">
        <f t="shared" ref="Q4:Q26" si="1">(O4-N4)/O4</f>
        <v>0.470819562398025</v>
      </c>
      <c r="R4" s="35">
        <v>124.52</v>
      </c>
      <c r="S4" s="35">
        <v>306.64</v>
      </c>
      <c r="T4" s="36">
        <v>3600</v>
      </c>
      <c r="U4" s="42">
        <f t="shared" ref="U4:U26" si="2">(S4-R4)/S4</f>
        <v>0.593921210540047</v>
      </c>
      <c r="V4" s="35">
        <v>124.64</v>
      </c>
      <c r="W4" s="35">
        <v>296.92</v>
      </c>
      <c r="X4" s="35">
        <v>2874.28</v>
      </c>
      <c r="Y4" s="42">
        <f t="shared" ref="Y4:Y26" si="3">(W4-V4)/W4</f>
        <v>0.580223629260407</v>
      </c>
    </row>
    <row r="5" s="36" customFormat="1" spans="1:25">
      <c r="A5" s="39" t="s">
        <v>160</v>
      </c>
      <c r="B5" s="40">
        <v>190.05</v>
      </c>
      <c r="C5" s="40">
        <v>246.1</v>
      </c>
      <c r="D5" s="40">
        <v>726.05</v>
      </c>
      <c r="E5" s="41">
        <f t="shared" si="0"/>
        <v>0.227752945956928</v>
      </c>
      <c r="F5" s="36" t="s">
        <v>158</v>
      </c>
      <c r="G5" s="40">
        <v>428.46</v>
      </c>
      <c r="H5" s="36">
        <v>3600</v>
      </c>
      <c r="I5" s="36" t="s">
        <v>158</v>
      </c>
      <c r="J5" s="36" t="s">
        <v>158</v>
      </c>
      <c r="K5" s="35">
        <v>446.82</v>
      </c>
      <c r="L5" s="36">
        <v>3600</v>
      </c>
      <c r="M5" s="36" t="s">
        <v>158</v>
      </c>
      <c r="N5" s="35">
        <v>164.07</v>
      </c>
      <c r="O5" s="35">
        <v>257.26</v>
      </c>
      <c r="P5" s="35">
        <v>1358.74</v>
      </c>
      <c r="Q5" s="42">
        <f t="shared" si="1"/>
        <v>0.362240534867449</v>
      </c>
      <c r="R5" s="35">
        <v>163.29</v>
      </c>
      <c r="S5" s="35">
        <v>300.93</v>
      </c>
      <c r="T5" s="36">
        <v>3600</v>
      </c>
      <c r="U5" s="42">
        <f t="shared" si="2"/>
        <v>0.457382115442129</v>
      </c>
      <c r="V5" s="35">
        <v>163.44</v>
      </c>
      <c r="W5" s="35">
        <v>281.07</v>
      </c>
      <c r="X5" s="35">
        <v>3313.08</v>
      </c>
      <c r="Y5" s="42">
        <f t="shared" si="3"/>
        <v>0.418507845020813</v>
      </c>
    </row>
    <row r="6" s="36" customFormat="1" spans="1:25">
      <c r="A6" s="39" t="s">
        <v>161</v>
      </c>
      <c r="B6" s="40">
        <v>151.19</v>
      </c>
      <c r="C6" s="40">
        <v>207.24</v>
      </c>
      <c r="D6" s="40">
        <v>883.33</v>
      </c>
      <c r="E6" s="41">
        <f t="shared" si="0"/>
        <v>0.270459370777842</v>
      </c>
      <c r="F6" s="36" t="s">
        <v>158</v>
      </c>
      <c r="G6" s="40">
        <v>431.04</v>
      </c>
      <c r="H6" s="36">
        <v>3600</v>
      </c>
      <c r="I6" s="36" t="s">
        <v>158</v>
      </c>
      <c r="J6" s="36" t="s">
        <v>158</v>
      </c>
      <c r="K6" s="35">
        <v>473.61</v>
      </c>
      <c r="L6" s="36">
        <v>3600</v>
      </c>
      <c r="M6" s="36" t="s">
        <v>158</v>
      </c>
      <c r="N6" s="35">
        <v>148.97</v>
      </c>
      <c r="O6" s="35">
        <v>222.67</v>
      </c>
      <c r="P6" s="35">
        <v>2639.24</v>
      </c>
      <c r="Q6" s="42">
        <f t="shared" si="1"/>
        <v>0.330983069115732</v>
      </c>
      <c r="R6" s="35">
        <v>146.88</v>
      </c>
      <c r="S6" s="35">
        <v>296.66</v>
      </c>
      <c r="T6" s="36">
        <v>3600</v>
      </c>
      <c r="U6" s="42">
        <f t="shared" si="2"/>
        <v>0.504887750286523</v>
      </c>
      <c r="V6" s="35">
        <v>147.4</v>
      </c>
      <c r="W6" s="35">
        <v>240.26</v>
      </c>
      <c r="X6" s="35">
        <v>2778.77</v>
      </c>
      <c r="Y6" s="42">
        <f t="shared" si="3"/>
        <v>0.386497960542745</v>
      </c>
    </row>
    <row r="7" spans="1:25">
      <c r="A7" s="38" t="s">
        <v>162</v>
      </c>
      <c r="B7" s="43">
        <v>217.34</v>
      </c>
      <c r="C7" s="43">
        <v>239.94</v>
      </c>
      <c r="D7" s="43">
        <v>1502.92</v>
      </c>
      <c r="E7" s="44">
        <f t="shared" si="0"/>
        <v>0.0941902142202217</v>
      </c>
      <c r="F7" t="s">
        <v>158</v>
      </c>
      <c r="G7" s="43">
        <v>448.67</v>
      </c>
      <c r="H7">
        <v>3600</v>
      </c>
      <c r="I7" t="s">
        <v>158</v>
      </c>
      <c r="J7" t="s">
        <v>158</v>
      </c>
      <c r="K7" s="35">
        <v>466.98</v>
      </c>
      <c r="L7">
        <v>3600</v>
      </c>
      <c r="M7" t="s">
        <v>158</v>
      </c>
      <c r="N7" s="33">
        <v>216.15</v>
      </c>
      <c r="O7" s="33">
        <v>245.78</v>
      </c>
      <c r="P7" s="33">
        <v>1734.86</v>
      </c>
      <c r="Q7" s="6">
        <f t="shared" si="1"/>
        <v>0.120554967857433</v>
      </c>
      <c r="R7" s="33">
        <v>209.71</v>
      </c>
      <c r="S7" s="37">
        <v>296.23</v>
      </c>
      <c r="T7">
        <v>3600</v>
      </c>
      <c r="U7" s="6">
        <f t="shared" si="2"/>
        <v>0.292070350740978</v>
      </c>
      <c r="V7" s="33">
        <v>212.09</v>
      </c>
      <c r="W7" s="33">
        <v>264.93</v>
      </c>
      <c r="X7" s="33">
        <v>2139.74</v>
      </c>
      <c r="Y7" s="6">
        <f t="shared" si="3"/>
        <v>0.199448911033103</v>
      </c>
    </row>
    <row r="8" spans="1:25">
      <c r="A8" s="38" t="s">
        <v>163</v>
      </c>
      <c r="B8" s="43">
        <v>171.24</v>
      </c>
      <c r="C8" s="43">
        <v>193.84</v>
      </c>
      <c r="D8" s="43">
        <v>909.67</v>
      </c>
      <c r="E8" s="44">
        <f t="shared" si="0"/>
        <v>0.116591002888981</v>
      </c>
      <c r="F8" t="s">
        <v>158</v>
      </c>
      <c r="G8" s="43">
        <v>460.83</v>
      </c>
      <c r="H8">
        <v>3600</v>
      </c>
      <c r="I8" t="s">
        <v>158</v>
      </c>
      <c r="J8" t="s">
        <v>158</v>
      </c>
      <c r="K8" s="35">
        <v>482.85</v>
      </c>
      <c r="L8">
        <v>3600</v>
      </c>
      <c r="M8" t="s">
        <v>158</v>
      </c>
      <c r="N8" s="33">
        <v>168.79</v>
      </c>
      <c r="O8" s="33">
        <v>201.64</v>
      </c>
      <c r="P8" s="33">
        <v>2525.31</v>
      </c>
      <c r="Q8" s="6">
        <f t="shared" si="1"/>
        <v>0.162914104344376</v>
      </c>
      <c r="R8" s="33">
        <v>167.57</v>
      </c>
      <c r="S8" s="33">
        <v>306.64</v>
      </c>
      <c r="T8">
        <v>3600</v>
      </c>
      <c r="U8" s="6">
        <f t="shared" si="2"/>
        <v>0.453528567701539</v>
      </c>
      <c r="V8" s="33">
        <v>167.89</v>
      </c>
      <c r="W8" s="33">
        <v>300.8</v>
      </c>
      <c r="X8" s="33">
        <v>3349.43</v>
      </c>
      <c r="Y8" s="6">
        <f t="shared" si="3"/>
        <v>0.441855053191489</v>
      </c>
    </row>
    <row r="9" spans="1:25">
      <c r="A9" s="38" t="s">
        <v>164</v>
      </c>
      <c r="B9" s="43">
        <v>268.77</v>
      </c>
      <c r="C9" s="43">
        <v>291.37</v>
      </c>
      <c r="D9" s="43">
        <v>1123.54</v>
      </c>
      <c r="E9" s="44">
        <f t="shared" si="0"/>
        <v>0.0775646085732918</v>
      </c>
      <c r="F9" t="s">
        <v>158</v>
      </c>
      <c r="G9" s="43">
        <v>466.63</v>
      </c>
      <c r="H9">
        <v>3600</v>
      </c>
      <c r="I9" t="s">
        <v>158</v>
      </c>
      <c r="J9" t="s">
        <v>158</v>
      </c>
      <c r="K9" s="35">
        <v>512.49</v>
      </c>
      <c r="L9">
        <v>3600</v>
      </c>
      <c r="M9" t="s">
        <v>158</v>
      </c>
      <c r="N9" s="33">
        <v>261.23</v>
      </c>
      <c r="O9" s="33">
        <v>292.11</v>
      </c>
      <c r="P9" s="33">
        <v>2055.82</v>
      </c>
      <c r="Q9" s="6">
        <f t="shared" si="1"/>
        <v>0.105713601040704</v>
      </c>
      <c r="R9" s="33">
        <v>259.91</v>
      </c>
      <c r="S9" s="37">
        <v>301.77</v>
      </c>
      <c r="T9">
        <v>3600</v>
      </c>
      <c r="U9" s="6">
        <f t="shared" si="2"/>
        <v>0.138714915332869</v>
      </c>
      <c r="V9" s="33">
        <v>260.03</v>
      </c>
      <c r="W9" s="33">
        <v>296.16</v>
      </c>
      <c r="X9" s="33">
        <v>2768.11</v>
      </c>
      <c r="Y9" s="6">
        <f t="shared" si="3"/>
        <v>0.121994867639114</v>
      </c>
    </row>
    <row r="10" spans="1:25">
      <c r="A10" s="38" t="s">
        <v>165</v>
      </c>
      <c r="B10" s="43">
        <v>330.26</v>
      </c>
      <c r="C10" s="43">
        <v>352.86</v>
      </c>
      <c r="D10" s="43">
        <v>1324.97</v>
      </c>
      <c r="E10" s="44">
        <f t="shared" si="0"/>
        <v>0.0640480643881427</v>
      </c>
      <c r="F10" t="s">
        <v>158</v>
      </c>
      <c r="G10" s="43">
        <v>468.38</v>
      </c>
      <c r="H10">
        <v>3600</v>
      </c>
      <c r="I10" t="s">
        <v>158</v>
      </c>
      <c r="J10" t="s">
        <v>158</v>
      </c>
      <c r="K10" s="35">
        <v>507.09</v>
      </c>
      <c r="L10">
        <v>3600</v>
      </c>
      <c r="M10" t="s">
        <v>158</v>
      </c>
      <c r="N10" s="33">
        <v>315.01</v>
      </c>
      <c r="O10" s="33">
        <v>357.77</v>
      </c>
      <c r="P10" s="33">
        <v>2248.64</v>
      </c>
      <c r="Q10" s="6">
        <f t="shared" si="1"/>
        <v>0.119518126170445</v>
      </c>
      <c r="R10" s="33">
        <v>310.59</v>
      </c>
      <c r="S10" s="33">
        <v>304.54</v>
      </c>
      <c r="T10">
        <v>3600</v>
      </c>
      <c r="U10" s="6">
        <f t="shared" si="2"/>
        <v>-0.0198660274512378</v>
      </c>
      <c r="V10" s="33">
        <v>311.15</v>
      </c>
      <c r="W10" s="33">
        <v>335.13</v>
      </c>
      <c r="X10" s="33">
        <v>2432.97</v>
      </c>
      <c r="Y10" s="6">
        <f t="shared" si="3"/>
        <v>0.0715543222033241</v>
      </c>
    </row>
    <row r="11" spans="1:25">
      <c r="A11" s="38" t="s">
        <v>166</v>
      </c>
      <c r="B11" s="43">
        <v>162.51</v>
      </c>
      <c r="C11" s="43">
        <v>218.56</v>
      </c>
      <c r="D11" s="43">
        <v>922</v>
      </c>
      <c r="E11" s="44">
        <f t="shared" si="0"/>
        <v>0.256451317715959</v>
      </c>
      <c r="F11" t="s">
        <v>158</v>
      </c>
      <c r="G11" s="33">
        <v>441.78</v>
      </c>
      <c r="H11">
        <v>3600</v>
      </c>
      <c r="I11" t="s">
        <v>158</v>
      </c>
      <c r="J11" t="s">
        <v>158</v>
      </c>
      <c r="K11" s="35">
        <v>443.84</v>
      </c>
      <c r="L11">
        <v>3600</v>
      </c>
      <c r="M11" t="s">
        <v>158</v>
      </c>
      <c r="N11" s="33">
        <v>149.54</v>
      </c>
      <c r="O11" s="33">
        <v>235.49</v>
      </c>
      <c r="P11" s="33">
        <v>1953.03</v>
      </c>
      <c r="Q11" s="6">
        <f t="shared" si="1"/>
        <v>0.364983651110451</v>
      </c>
      <c r="R11" s="33">
        <v>124.72</v>
      </c>
      <c r="S11" s="33">
        <v>305.29</v>
      </c>
      <c r="T11">
        <v>3600</v>
      </c>
      <c r="U11" s="6">
        <f t="shared" si="2"/>
        <v>0.591470405188509</v>
      </c>
      <c r="V11" s="33">
        <v>133.58</v>
      </c>
      <c r="W11" s="33">
        <v>267.2</v>
      </c>
      <c r="X11" s="33">
        <v>3554.2</v>
      </c>
      <c r="Y11" s="6">
        <f t="shared" si="3"/>
        <v>0.500074850299401</v>
      </c>
    </row>
    <row r="12" spans="1:25">
      <c r="A12" s="38" t="s">
        <v>167</v>
      </c>
      <c r="B12" s="43">
        <v>203.87</v>
      </c>
      <c r="C12" s="43">
        <v>259.92</v>
      </c>
      <c r="D12" s="43">
        <v>1287.34</v>
      </c>
      <c r="E12" s="44">
        <f t="shared" si="0"/>
        <v>0.215643274853801</v>
      </c>
      <c r="F12" s="36" t="s">
        <v>158</v>
      </c>
      <c r="G12" s="33">
        <v>485.79</v>
      </c>
      <c r="H12">
        <v>3600</v>
      </c>
      <c r="I12" s="36" t="s">
        <v>158</v>
      </c>
      <c r="J12" s="36" t="s">
        <v>158</v>
      </c>
      <c r="K12" s="35">
        <v>491.97</v>
      </c>
      <c r="L12">
        <v>3600</v>
      </c>
      <c r="M12" s="36" t="s">
        <v>158</v>
      </c>
      <c r="N12" s="33">
        <v>169.6</v>
      </c>
      <c r="O12" s="33">
        <v>285.23</v>
      </c>
      <c r="P12" s="33">
        <v>1611.22</v>
      </c>
      <c r="Q12" s="6">
        <f t="shared" si="1"/>
        <v>0.405392139676752</v>
      </c>
      <c r="R12" s="33">
        <v>140.91</v>
      </c>
      <c r="S12" s="33">
        <v>304.57</v>
      </c>
      <c r="T12">
        <v>3600</v>
      </c>
      <c r="U12" s="6">
        <f t="shared" si="2"/>
        <v>0.537347736152609</v>
      </c>
      <c r="V12" s="33">
        <v>148.47</v>
      </c>
      <c r="W12" s="33">
        <v>297.36</v>
      </c>
      <c r="X12" s="33">
        <v>3034.44</v>
      </c>
      <c r="Y12" s="6">
        <f t="shared" si="3"/>
        <v>0.500706214689266</v>
      </c>
    </row>
    <row r="13" spans="1:25">
      <c r="A13" s="38" t="s">
        <v>168</v>
      </c>
      <c r="B13" s="43">
        <v>208.16</v>
      </c>
      <c r="C13" s="43">
        <v>264.21</v>
      </c>
      <c r="D13" s="43">
        <v>875.62</v>
      </c>
      <c r="E13" s="44">
        <f t="shared" si="0"/>
        <v>0.212141856856289</v>
      </c>
      <c r="F13" t="s">
        <v>158</v>
      </c>
      <c r="G13" s="33">
        <v>507.45</v>
      </c>
      <c r="H13">
        <v>3600</v>
      </c>
      <c r="I13" t="s">
        <v>158</v>
      </c>
      <c r="J13" t="s">
        <v>158</v>
      </c>
      <c r="K13" s="35">
        <v>549.39</v>
      </c>
      <c r="L13">
        <v>3600</v>
      </c>
      <c r="M13" t="s">
        <v>158</v>
      </c>
      <c r="N13" s="33">
        <v>178.67</v>
      </c>
      <c r="O13" s="33">
        <v>289.2</v>
      </c>
      <c r="P13" s="33">
        <v>2269.46</v>
      </c>
      <c r="Q13" s="6">
        <f t="shared" si="1"/>
        <v>0.382192254495159</v>
      </c>
      <c r="R13" s="33">
        <v>167.72</v>
      </c>
      <c r="S13" s="33">
        <v>303.31</v>
      </c>
      <c r="T13">
        <v>3600</v>
      </c>
      <c r="U13" s="6">
        <f t="shared" si="2"/>
        <v>0.447034387260558</v>
      </c>
      <c r="V13" s="33">
        <v>169.32</v>
      </c>
      <c r="W13" s="33">
        <v>299.06</v>
      </c>
      <c r="X13" s="33">
        <v>3516.6</v>
      </c>
      <c r="Y13" s="6">
        <f t="shared" si="3"/>
        <v>0.433825988096034</v>
      </c>
    </row>
    <row r="14" spans="1:25">
      <c r="A14" s="38" t="s">
        <v>169</v>
      </c>
      <c r="B14" s="43">
        <v>151.19</v>
      </c>
      <c r="C14" s="43">
        <v>207.24</v>
      </c>
      <c r="D14" s="43">
        <v>1109.37</v>
      </c>
      <c r="E14" s="44">
        <f t="shared" si="0"/>
        <v>0.270459370777842</v>
      </c>
      <c r="F14" t="s">
        <v>158</v>
      </c>
      <c r="G14" s="33">
        <v>492.52</v>
      </c>
      <c r="H14">
        <v>3600</v>
      </c>
      <c r="I14" t="s">
        <v>158</v>
      </c>
      <c r="J14" t="s">
        <v>158</v>
      </c>
      <c r="K14" s="35">
        <v>513.32</v>
      </c>
      <c r="L14">
        <v>3600</v>
      </c>
      <c r="M14" t="s">
        <v>158</v>
      </c>
      <c r="N14" s="33">
        <v>140.02</v>
      </c>
      <c r="O14" s="33">
        <v>242.08</v>
      </c>
      <c r="P14" s="33">
        <v>2363.81</v>
      </c>
      <c r="Q14" s="6">
        <f t="shared" si="1"/>
        <v>0.42159616655651</v>
      </c>
      <c r="R14" s="33">
        <v>118.16</v>
      </c>
      <c r="S14" s="33">
        <v>299.88</v>
      </c>
      <c r="T14">
        <v>3600</v>
      </c>
      <c r="U14" s="6">
        <f t="shared" si="2"/>
        <v>0.605975723622782</v>
      </c>
      <c r="V14" s="33">
        <v>124.45</v>
      </c>
      <c r="W14" s="33">
        <v>272.08</v>
      </c>
      <c r="X14" s="33">
        <v>2545.64</v>
      </c>
      <c r="Y14" s="6">
        <f t="shared" si="3"/>
        <v>0.542597765363129</v>
      </c>
    </row>
    <row r="15" spans="1:25">
      <c r="A15" s="38" t="s">
        <v>170</v>
      </c>
      <c r="B15" s="43">
        <v>224.31</v>
      </c>
      <c r="C15" s="43">
        <v>246.91</v>
      </c>
      <c r="D15" s="43">
        <v>1323.68</v>
      </c>
      <c r="E15" s="44">
        <f t="shared" si="0"/>
        <v>0.0915313272042444</v>
      </c>
      <c r="F15" t="s">
        <v>158</v>
      </c>
      <c r="G15" s="33">
        <v>488.78</v>
      </c>
      <c r="H15">
        <v>3600</v>
      </c>
      <c r="I15" t="s">
        <v>158</v>
      </c>
      <c r="J15" t="s">
        <v>158</v>
      </c>
      <c r="K15" s="35">
        <v>525.14</v>
      </c>
      <c r="L15">
        <v>3600</v>
      </c>
      <c r="M15" t="s">
        <v>158</v>
      </c>
      <c r="N15" s="33">
        <v>217.96</v>
      </c>
      <c r="O15" s="33">
        <v>247.17</v>
      </c>
      <c r="P15" s="33">
        <v>2257.69</v>
      </c>
      <c r="Q15" s="6">
        <f t="shared" si="1"/>
        <v>0.11817777238338</v>
      </c>
      <c r="R15" s="33">
        <v>208.19</v>
      </c>
      <c r="S15" s="33">
        <v>293.98</v>
      </c>
      <c r="T15">
        <v>3600</v>
      </c>
      <c r="U15" s="6">
        <f t="shared" si="2"/>
        <v>0.291822572964147</v>
      </c>
      <c r="V15" s="33">
        <v>208.39</v>
      </c>
      <c r="W15" s="33">
        <v>250.51</v>
      </c>
      <c r="X15" s="33">
        <v>2438.76</v>
      </c>
      <c r="Y15" s="6">
        <f t="shared" si="3"/>
        <v>0.168137000518941</v>
      </c>
    </row>
    <row r="16" spans="1:25">
      <c r="A16" s="38" t="s">
        <v>171</v>
      </c>
      <c r="B16" s="43">
        <v>174.33</v>
      </c>
      <c r="C16" s="43">
        <v>196.93</v>
      </c>
      <c r="D16" s="43">
        <v>1020.15</v>
      </c>
      <c r="E16" s="44">
        <f t="shared" si="0"/>
        <v>0.114761590412837</v>
      </c>
      <c r="F16" t="s">
        <v>158</v>
      </c>
      <c r="G16" s="33">
        <v>457.46</v>
      </c>
      <c r="H16">
        <v>3600</v>
      </c>
      <c r="I16" t="s">
        <v>158</v>
      </c>
      <c r="J16" t="s">
        <v>158</v>
      </c>
      <c r="K16" s="35">
        <v>477.99</v>
      </c>
      <c r="L16">
        <v>3600</v>
      </c>
      <c r="M16" t="s">
        <v>158</v>
      </c>
      <c r="N16" s="33">
        <v>170.77</v>
      </c>
      <c r="O16" s="33">
        <v>210.17</v>
      </c>
      <c r="P16" s="33">
        <v>2022.36</v>
      </c>
      <c r="Q16" s="6">
        <f t="shared" si="1"/>
        <v>0.187467288385593</v>
      </c>
      <c r="R16" s="33">
        <v>168.99</v>
      </c>
      <c r="S16" s="33">
        <v>295.51</v>
      </c>
      <c r="T16">
        <v>3600</v>
      </c>
      <c r="U16" s="6">
        <f t="shared" si="2"/>
        <v>0.428141179655511</v>
      </c>
      <c r="V16" s="33">
        <v>169.02</v>
      </c>
      <c r="W16" s="33">
        <v>239.02</v>
      </c>
      <c r="X16" s="33">
        <v>2811.76</v>
      </c>
      <c r="Y16" s="6">
        <f t="shared" si="3"/>
        <v>0.292862521964689</v>
      </c>
    </row>
    <row r="17" spans="1:25">
      <c r="A17" s="38" t="s">
        <v>172</v>
      </c>
      <c r="B17" s="43">
        <v>268.77</v>
      </c>
      <c r="C17" s="43">
        <v>291.37</v>
      </c>
      <c r="D17" s="43">
        <v>888.27</v>
      </c>
      <c r="E17" s="44">
        <f t="shared" si="0"/>
        <v>0.0775646085732918</v>
      </c>
      <c r="F17" t="s">
        <v>158</v>
      </c>
      <c r="G17" s="33">
        <v>517.4</v>
      </c>
      <c r="H17">
        <v>3600</v>
      </c>
      <c r="I17" t="s">
        <v>158</v>
      </c>
      <c r="J17" t="s">
        <v>158</v>
      </c>
      <c r="K17" s="35">
        <v>519.79</v>
      </c>
      <c r="L17">
        <v>3600</v>
      </c>
      <c r="M17" t="s">
        <v>158</v>
      </c>
      <c r="N17" s="33">
        <v>265.91</v>
      </c>
      <c r="O17" s="33">
        <v>304.85</v>
      </c>
      <c r="P17" s="33">
        <v>1431.51</v>
      </c>
      <c r="Q17" s="6">
        <f t="shared" si="1"/>
        <v>0.127734951615549</v>
      </c>
      <c r="R17" s="33">
        <v>262.77</v>
      </c>
      <c r="S17" s="33">
        <v>301.99</v>
      </c>
      <c r="T17">
        <v>3600</v>
      </c>
      <c r="U17" s="6">
        <f t="shared" si="2"/>
        <v>0.12987185006126</v>
      </c>
      <c r="V17" s="33">
        <v>262.95</v>
      </c>
      <c r="W17" s="33">
        <v>303.76</v>
      </c>
      <c r="X17" s="33">
        <v>2254.16</v>
      </c>
      <c r="Y17" s="6">
        <f t="shared" si="3"/>
        <v>0.134349486436661</v>
      </c>
    </row>
    <row r="18" spans="1:25">
      <c r="A18" s="38" t="s">
        <v>173</v>
      </c>
      <c r="B18" s="43">
        <v>330.26</v>
      </c>
      <c r="C18" s="43">
        <v>352.86</v>
      </c>
      <c r="D18" s="43">
        <v>1157.05</v>
      </c>
      <c r="E18" s="44">
        <f t="shared" si="0"/>
        <v>0.0640480643881427</v>
      </c>
      <c r="F18" t="s">
        <v>158</v>
      </c>
      <c r="G18" s="33">
        <v>542.94</v>
      </c>
      <c r="H18">
        <v>3600</v>
      </c>
      <c r="I18" t="s">
        <v>158</v>
      </c>
      <c r="J18" t="s">
        <v>158</v>
      </c>
      <c r="K18" s="35">
        <v>553.96</v>
      </c>
      <c r="L18">
        <v>3600</v>
      </c>
      <c r="M18" t="s">
        <v>158</v>
      </c>
      <c r="N18" s="33">
        <v>329.38</v>
      </c>
      <c r="O18" s="33">
        <v>360.34</v>
      </c>
      <c r="P18" s="33">
        <v>2434.55</v>
      </c>
      <c r="Q18" s="6">
        <f t="shared" si="1"/>
        <v>0.0859188544152744</v>
      </c>
      <c r="R18" s="33">
        <v>320.86</v>
      </c>
      <c r="S18" s="33">
        <v>361.12</v>
      </c>
      <c r="T18">
        <v>3600</v>
      </c>
      <c r="U18" s="6">
        <f t="shared" si="2"/>
        <v>0.111486486486486</v>
      </c>
      <c r="V18" s="33">
        <v>322.37</v>
      </c>
      <c r="W18" s="33">
        <v>361.1</v>
      </c>
      <c r="X18" s="33">
        <v>3055.52</v>
      </c>
      <c r="Y18" s="6">
        <f t="shared" si="3"/>
        <v>0.107255607864857</v>
      </c>
    </row>
    <row r="19" spans="1:25">
      <c r="A19" s="2" t="s">
        <v>174</v>
      </c>
      <c r="B19" s="45">
        <v>162.51</v>
      </c>
      <c r="C19" s="22">
        <v>218.57</v>
      </c>
      <c r="D19" s="43">
        <v>1299.48</v>
      </c>
      <c r="E19" s="44">
        <f t="shared" si="0"/>
        <v>0.256485336505467</v>
      </c>
      <c r="F19" t="s">
        <v>158</v>
      </c>
      <c r="G19" s="33">
        <v>501.17</v>
      </c>
      <c r="H19">
        <v>3600</v>
      </c>
      <c r="I19" t="s">
        <v>158</v>
      </c>
      <c r="J19" t="s">
        <v>158</v>
      </c>
      <c r="K19" s="35">
        <v>521.68</v>
      </c>
      <c r="L19">
        <v>3600</v>
      </c>
      <c r="M19" t="s">
        <v>158</v>
      </c>
      <c r="N19" s="33">
        <v>128.72</v>
      </c>
      <c r="O19" s="33">
        <v>252.36</v>
      </c>
      <c r="P19" s="33">
        <v>2723.67</v>
      </c>
      <c r="Q19" s="6">
        <f t="shared" si="1"/>
        <v>0.489935013472817</v>
      </c>
      <c r="R19" s="33">
        <v>105.43</v>
      </c>
      <c r="S19" s="33">
        <v>304.45</v>
      </c>
      <c r="T19">
        <v>3600</v>
      </c>
      <c r="U19" s="6">
        <f t="shared" si="2"/>
        <v>0.653703399573</v>
      </c>
      <c r="V19" s="33">
        <v>108.64</v>
      </c>
      <c r="W19" s="33">
        <v>288.33</v>
      </c>
      <c r="X19" s="33">
        <v>2989.62</v>
      </c>
      <c r="Y19" s="6">
        <f t="shared" si="3"/>
        <v>0.623209516873028</v>
      </c>
    </row>
    <row r="20" spans="1:25">
      <c r="A20" s="2" t="s">
        <v>175</v>
      </c>
      <c r="B20" s="45">
        <v>203.87</v>
      </c>
      <c r="C20" s="22">
        <v>259.93</v>
      </c>
      <c r="D20" s="43">
        <v>964.36</v>
      </c>
      <c r="E20" s="44">
        <f t="shared" si="0"/>
        <v>0.215673450544377</v>
      </c>
      <c r="F20" s="36" t="s">
        <v>158</v>
      </c>
      <c r="G20" s="33">
        <v>536.42</v>
      </c>
      <c r="H20">
        <v>3600</v>
      </c>
      <c r="I20" s="36" t="s">
        <v>158</v>
      </c>
      <c r="J20" s="36" t="s">
        <v>158</v>
      </c>
      <c r="K20" s="35">
        <v>540.92</v>
      </c>
      <c r="L20">
        <v>3600</v>
      </c>
      <c r="M20" s="36" t="s">
        <v>158</v>
      </c>
      <c r="N20" s="33">
        <v>179.17</v>
      </c>
      <c r="O20" s="33">
        <v>299.19</v>
      </c>
      <c r="P20" s="33">
        <v>2257.42</v>
      </c>
      <c r="Q20" s="6">
        <f t="shared" si="1"/>
        <v>0.401149771048498</v>
      </c>
      <c r="R20" s="33">
        <v>166.49</v>
      </c>
      <c r="S20" s="33">
        <v>304.08</v>
      </c>
      <c r="T20">
        <v>3600</v>
      </c>
      <c r="U20" s="6">
        <f t="shared" si="2"/>
        <v>0.452479610628782</v>
      </c>
      <c r="V20" s="33">
        <v>168.07</v>
      </c>
      <c r="W20" s="33">
        <v>300.32</v>
      </c>
      <c r="X20" s="33">
        <v>3523.99</v>
      </c>
      <c r="Y20" s="6">
        <f t="shared" si="3"/>
        <v>0.440363612147043</v>
      </c>
    </row>
    <row r="21" spans="1:25">
      <c r="A21" s="2" t="s">
        <v>176</v>
      </c>
      <c r="B21" s="45">
        <v>202.94</v>
      </c>
      <c r="C21" s="45">
        <v>259.05</v>
      </c>
      <c r="D21" s="43">
        <v>1090.44</v>
      </c>
      <c r="E21" s="44">
        <f t="shared" si="0"/>
        <v>0.216599112140513</v>
      </c>
      <c r="F21" t="s">
        <v>158</v>
      </c>
      <c r="G21" s="33">
        <v>468.38</v>
      </c>
      <c r="H21">
        <v>3600</v>
      </c>
      <c r="I21" t="s">
        <v>158</v>
      </c>
      <c r="J21" t="s">
        <v>158</v>
      </c>
      <c r="K21" s="35">
        <v>489.35</v>
      </c>
      <c r="L21">
        <v>3600</v>
      </c>
      <c r="M21" t="s">
        <v>158</v>
      </c>
      <c r="N21" s="33">
        <v>168.35</v>
      </c>
      <c r="O21" s="33">
        <v>281.39</v>
      </c>
      <c r="P21" s="33">
        <v>2268.65</v>
      </c>
      <c r="Q21" s="6">
        <f t="shared" si="1"/>
        <v>0.401720032694836</v>
      </c>
      <c r="R21" s="33">
        <v>135.94</v>
      </c>
      <c r="S21" s="33">
        <v>303.23</v>
      </c>
      <c r="T21">
        <v>3600</v>
      </c>
      <c r="U21" s="6">
        <f t="shared" si="2"/>
        <v>0.551693434026976</v>
      </c>
      <c r="V21" s="33">
        <v>141.42</v>
      </c>
      <c r="W21" s="33">
        <v>293.49</v>
      </c>
      <c r="X21" s="33">
        <v>2534.23</v>
      </c>
      <c r="Y21" s="6">
        <f t="shared" si="3"/>
        <v>0.518143718695697</v>
      </c>
    </row>
    <row r="22" spans="1:25">
      <c r="A22" s="2" t="s">
        <v>177</v>
      </c>
      <c r="B22" s="45">
        <v>151.19</v>
      </c>
      <c r="C22" s="22">
        <v>207.24</v>
      </c>
      <c r="D22" s="43">
        <v>1156.54</v>
      </c>
      <c r="E22" s="44">
        <f t="shared" si="0"/>
        <v>0.270459370777842</v>
      </c>
      <c r="F22" t="s">
        <v>158</v>
      </c>
      <c r="G22" s="33">
        <v>532.84</v>
      </c>
      <c r="H22">
        <v>3600</v>
      </c>
      <c r="I22" t="s">
        <v>158</v>
      </c>
      <c r="J22" t="s">
        <v>158</v>
      </c>
      <c r="K22" s="35">
        <v>544.26</v>
      </c>
      <c r="L22">
        <v>3600</v>
      </c>
      <c r="M22" t="s">
        <v>158</v>
      </c>
      <c r="N22" s="33">
        <v>112.7</v>
      </c>
      <c r="O22" s="33">
        <v>210.25</v>
      </c>
      <c r="P22" s="33">
        <v>2106.83</v>
      </c>
      <c r="Q22" s="6">
        <f t="shared" si="1"/>
        <v>0.46397146254459</v>
      </c>
      <c r="R22" s="33">
        <v>80.67</v>
      </c>
      <c r="S22" s="33">
        <v>298.73</v>
      </c>
      <c r="T22">
        <v>3600</v>
      </c>
      <c r="U22" s="6">
        <f t="shared" si="2"/>
        <v>0.729956817192783</v>
      </c>
      <c r="V22" s="33">
        <v>83.52</v>
      </c>
      <c r="W22" s="33">
        <v>224.1</v>
      </c>
      <c r="X22" s="33">
        <v>2423.21</v>
      </c>
      <c r="Y22" s="6">
        <f t="shared" si="3"/>
        <v>0.627309236947791</v>
      </c>
    </row>
    <row r="23" spans="1:25">
      <c r="A23" s="2" t="s">
        <v>178</v>
      </c>
      <c r="B23" s="45">
        <v>224.31</v>
      </c>
      <c r="C23" s="22">
        <v>246.91</v>
      </c>
      <c r="D23" s="43">
        <v>1118.23</v>
      </c>
      <c r="E23" s="44">
        <f t="shared" si="0"/>
        <v>0.0915313272042444</v>
      </c>
      <c r="F23" t="s">
        <v>158</v>
      </c>
      <c r="G23" s="33">
        <v>589.79</v>
      </c>
      <c r="H23">
        <v>3600</v>
      </c>
      <c r="I23" t="s">
        <v>158</v>
      </c>
      <c r="J23" t="s">
        <v>158</v>
      </c>
      <c r="K23" s="35">
        <v>632.07</v>
      </c>
      <c r="L23">
        <v>3600</v>
      </c>
      <c r="M23" t="s">
        <v>158</v>
      </c>
      <c r="N23" s="33">
        <v>219.57</v>
      </c>
      <c r="O23" s="33">
        <v>258.96</v>
      </c>
      <c r="P23" s="33">
        <v>2920.34</v>
      </c>
      <c r="Q23" s="6">
        <f t="shared" si="1"/>
        <v>0.15210843373494</v>
      </c>
      <c r="R23" s="33">
        <v>216.83</v>
      </c>
      <c r="S23" s="33">
        <v>299.54</v>
      </c>
      <c r="T23">
        <v>3600</v>
      </c>
      <c r="U23" s="6">
        <f t="shared" si="2"/>
        <v>0.276123389196768</v>
      </c>
      <c r="V23" s="33">
        <v>216.93</v>
      </c>
      <c r="W23" s="33">
        <v>283.48</v>
      </c>
      <c r="X23" s="33">
        <v>3597.48</v>
      </c>
      <c r="Y23" s="6">
        <f t="shared" si="3"/>
        <v>0.234760829688161</v>
      </c>
    </row>
    <row r="24" spans="1:25">
      <c r="A24" s="2" t="s">
        <v>179</v>
      </c>
      <c r="B24" s="45">
        <v>171.24</v>
      </c>
      <c r="C24" s="22">
        <v>193.85</v>
      </c>
      <c r="D24" s="43">
        <v>853.05</v>
      </c>
      <c r="E24" s="44">
        <f t="shared" si="0"/>
        <v>0.116636574671137</v>
      </c>
      <c r="F24" t="s">
        <v>158</v>
      </c>
      <c r="G24" s="33">
        <v>532.74</v>
      </c>
      <c r="H24">
        <v>3600</v>
      </c>
      <c r="I24" t="s">
        <v>158</v>
      </c>
      <c r="J24" t="s">
        <v>158</v>
      </c>
      <c r="K24" s="35">
        <v>553.96</v>
      </c>
      <c r="L24">
        <v>3600</v>
      </c>
      <c r="M24" t="s">
        <v>158</v>
      </c>
      <c r="N24" s="33">
        <v>165.18</v>
      </c>
      <c r="O24" s="33">
        <v>196.34</v>
      </c>
      <c r="P24" s="33">
        <v>886.68</v>
      </c>
      <c r="Q24" s="6">
        <f t="shared" si="1"/>
        <v>0.158704288479169</v>
      </c>
      <c r="R24" s="33">
        <v>160.33</v>
      </c>
      <c r="S24" s="33">
        <v>291.85</v>
      </c>
      <c r="T24">
        <v>3600</v>
      </c>
      <c r="U24" s="6">
        <f t="shared" si="2"/>
        <v>0.450642453315059</v>
      </c>
      <c r="V24" s="33">
        <v>162.09</v>
      </c>
      <c r="W24" s="33">
        <v>247</v>
      </c>
      <c r="X24" s="33">
        <v>2779.86</v>
      </c>
      <c r="Y24" s="6">
        <f t="shared" si="3"/>
        <v>0.343765182186235</v>
      </c>
    </row>
    <row r="25" spans="1:25">
      <c r="A25" s="2" t="s">
        <v>180</v>
      </c>
      <c r="B25" s="45">
        <v>268.77</v>
      </c>
      <c r="C25" s="22">
        <v>291.38</v>
      </c>
      <c r="D25" s="43">
        <v>617.48</v>
      </c>
      <c r="E25" s="44">
        <f t="shared" si="0"/>
        <v>0.0775962660443408</v>
      </c>
      <c r="F25" t="s">
        <v>158</v>
      </c>
      <c r="G25" s="33">
        <v>556.68</v>
      </c>
      <c r="H25">
        <v>3600</v>
      </c>
      <c r="I25" t="s">
        <v>158</v>
      </c>
      <c r="J25" t="s">
        <v>158</v>
      </c>
      <c r="K25" s="35">
        <v>582.07</v>
      </c>
      <c r="L25">
        <v>3600</v>
      </c>
      <c r="M25" t="s">
        <v>158</v>
      </c>
      <c r="N25" s="33">
        <v>257.23</v>
      </c>
      <c r="O25" s="33">
        <v>291.45</v>
      </c>
      <c r="P25" s="33">
        <v>1883.59</v>
      </c>
      <c r="Q25" s="6">
        <f t="shared" si="1"/>
        <v>0.117412935323383</v>
      </c>
      <c r="R25" s="33">
        <v>257.18</v>
      </c>
      <c r="S25" s="33">
        <v>291.12</v>
      </c>
      <c r="T25">
        <v>3600</v>
      </c>
      <c r="U25" s="6">
        <f t="shared" si="2"/>
        <v>0.116584226435834</v>
      </c>
      <c r="V25" s="33">
        <v>257.19</v>
      </c>
      <c r="W25" s="33">
        <v>291.28</v>
      </c>
      <c r="X25" s="33">
        <v>2215.27</v>
      </c>
      <c r="Y25" s="6">
        <f t="shared" si="3"/>
        <v>0.117035155177149</v>
      </c>
    </row>
    <row r="26" spans="1:25">
      <c r="A26" s="2" t="s">
        <v>181</v>
      </c>
      <c r="B26" s="45">
        <v>330.26</v>
      </c>
      <c r="C26" s="22">
        <v>352.86</v>
      </c>
      <c r="D26" s="43">
        <v>1020.75</v>
      </c>
      <c r="E26" s="44">
        <f t="shared" si="0"/>
        <v>0.0640480643881427</v>
      </c>
      <c r="F26" t="s">
        <v>158</v>
      </c>
      <c r="G26" s="33">
        <v>490.44</v>
      </c>
      <c r="H26">
        <v>3600</v>
      </c>
      <c r="I26" t="s">
        <v>158</v>
      </c>
      <c r="J26" t="s">
        <v>158</v>
      </c>
      <c r="K26" s="35">
        <v>510.75</v>
      </c>
      <c r="L26">
        <v>3600</v>
      </c>
      <c r="M26" t="s">
        <v>158</v>
      </c>
      <c r="N26" s="33">
        <v>323.75</v>
      </c>
      <c r="O26" s="33">
        <v>357.05</v>
      </c>
      <c r="P26" s="33">
        <v>1858.63</v>
      </c>
      <c r="Q26" s="6">
        <f t="shared" si="1"/>
        <v>0.0932642487046632</v>
      </c>
      <c r="R26" s="33">
        <v>313.73</v>
      </c>
      <c r="S26" s="33">
        <v>351.85</v>
      </c>
      <c r="T26">
        <v>3600</v>
      </c>
      <c r="U26" s="6">
        <f t="shared" si="2"/>
        <v>0.108341622850647</v>
      </c>
      <c r="V26" s="33">
        <v>315.83</v>
      </c>
      <c r="W26" s="33">
        <v>353.82</v>
      </c>
      <c r="X26" s="33">
        <v>2322.23</v>
      </c>
      <c r="Y26" s="6">
        <f t="shared" si="3"/>
        <v>0.107370979594144</v>
      </c>
    </row>
    <row r="27" spans="1:25">
      <c r="K27" s="46">
        <f>AVERAGE(K3:K26)</f>
        <v>506.604583333333</v>
      </c>
      <c r="Y27" s="6"/>
    </row>
    <row r="28" spans="1:25">
      <c r="A28" s="2" t="s">
        <v>182</v>
      </c>
      <c r="B28" s="38" t="s">
        <v>1</v>
      </c>
      <c r="D28" s="2" t="s">
        <v>3</v>
      </c>
      <c r="E28" s="2" t="s">
        <v>10</v>
      </c>
      <c r="F28" s="2" t="s">
        <v>2</v>
      </c>
      <c r="G28" s="2"/>
      <c r="H28" s="2" t="s">
        <v>3</v>
      </c>
      <c r="I28" s="2" t="s">
        <v>10</v>
      </c>
      <c r="J28" s="2" t="s">
        <v>4</v>
      </c>
      <c r="K28" s="46"/>
      <c r="L28" s="2" t="s">
        <v>3</v>
      </c>
      <c r="M28" s="2" t="s">
        <v>10</v>
      </c>
      <c r="N28" s="2" t="s">
        <v>5</v>
      </c>
      <c r="O28" s="2"/>
      <c r="P28" s="2" t="s">
        <v>3</v>
      </c>
      <c r="Q28" s="2" t="s">
        <v>10</v>
      </c>
      <c r="R28" s="2" t="s">
        <v>6</v>
      </c>
      <c r="S28" s="2"/>
      <c r="T28" s="2" t="s">
        <v>3</v>
      </c>
      <c r="U28" s="2" t="s">
        <v>10</v>
      </c>
      <c r="V28" s="2" t="s">
        <v>7</v>
      </c>
      <c r="W28" s="2"/>
      <c r="X28" s="2" t="s">
        <v>3</v>
      </c>
      <c r="Y28" s="6" t="s">
        <v>10</v>
      </c>
    </row>
    <row r="29" spans="1:25">
      <c r="A29" s="2"/>
      <c r="B29" s="2" t="s">
        <v>183</v>
      </c>
      <c r="C29" s="38" t="s">
        <v>9</v>
      </c>
      <c r="D29" s="2"/>
      <c r="K29" s="46"/>
      <c r="N29" s="2" t="s">
        <v>183</v>
      </c>
      <c r="O29" s="38" t="s">
        <v>9</v>
      </c>
      <c r="R29" s="2" t="s">
        <v>183</v>
      </c>
      <c r="S29" s="38" t="s">
        <v>9</v>
      </c>
      <c r="V29" s="2" t="s">
        <v>183</v>
      </c>
      <c r="W29" s="38" t="s">
        <v>9</v>
      </c>
      <c r="Y29" s="6"/>
    </row>
    <row r="30" spans="1:25">
      <c r="A30" s="2" t="s">
        <v>184</v>
      </c>
      <c r="B30" s="22">
        <v>116.04</v>
      </c>
      <c r="C30" s="22">
        <v>164.9</v>
      </c>
      <c r="D30" s="33">
        <v>1198.83</v>
      </c>
      <c r="E30" s="6">
        <f>(C30-B30)/C30</f>
        <v>0.29630078835658</v>
      </c>
      <c r="F30" t="s">
        <v>158</v>
      </c>
      <c r="G30" s="33">
        <v>305.1</v>
      </c>
      <c r="H30">
        <v>3600</v>
      </c>
      <c r="I30" t="s">
        <v>158</v>
      </c>
      <c r="J30" t="s">
        <v>158</v>
      </c>
      <c r="K30" s="35">
        <v>320.38</v>
      </c>
      <c r="L30">
        <v>3600</v>
      </c>
      <c r="M30" t="s">
        <v>158</v>
      </c>
      <c r="N30" s="33">
        <v>103.81</v>
      </c>
      <c r="O30" s="33">
        <v>215.74</v>
      </c>
      <c r="P30" s="33">
        <v>1740.05</v>
      </c>
      <c r="Q30" s="6">
        <f>(O30-N30)/O30</f>
        <v>0.518818948734588</v>
      </c>
      <c r="R30" s="33">
        <v>78.99</v>
      </c>
      <c r="S30" s="33">
        <v>234.24</v>
      </c>
      <c r="T30" s="33">
        <v>3600</v>
      </c>
      <c r="U30" s="6">
        <f>(S30-R30)/S30</f>
        <v>0.662781762295082</v>
      </c>
      <c r="V30" s="33">
        <v>99.04</v>
      </c>
      <c r="W30" s="33">
        <v>229.85</v>
      </c>
      <c r="X30" s="33">
        <v>2003.27</v>
      </c>
      <c r="Y30" s="6">
        <f t="shared" ref="Y27:Y53" si="4">(W30-V30)/W30</f>
        <v>0.569110289319121</v>
      </c>
    </row>
    <row r="31" s="36" customFormat="1" spans="1:25">
      <c r="A31" s="47" t="s">
        <v>185</v>
      </c>
      <c r="B31" s="48">
        <v>152.5</v>
      </c>
      <c r="C31" s="48">
        <v>201.36</v>
      </c>
      <c r="D31" s="35">
        <v>1169.45</v>
      </c>
      <c r="E31" s="6">
        <f t="shared" ref="E31:E53" si="5">(C31-B31)/C31</f>
        <v>0.242649980135081</v>
      </c>
      <c r="F31" s="36" t="s">
        <v>158</v>
      </c>
      <c r="G31" s="33">
        <v>409.72</v>
      </c>
      <c r="H31">
        <v>3600</v>
      </c>
      <c r="I31" s="36" t="s">
        <v>158</v>
      </c>
      <c r="J31" s="36" t="s">
        <v>158</v>
      </c>
      <c r="K31" s="35">
        <v>439.09</v>
      </c>
      <c r="L31">
        <v>3600</v>
      </c>
      <c r="M31" s="36" t="s">
        <v>158</v>
      </c>
      <c r="N31" s="33">
        <v>150.93</v>
      </c>
      <c r="O31" s="33">
        <v>233.24</v>
      </c>
      <c r="P31" s="33">
        <v>1252.29</v>
      </c>
      <c r="Q31" s="6">
        <f t="shared" ref="Q31:Q53" si="6">(O31-N31)/O31</f>
        <v>0.352898302178014</v>
      </c>
      <c r="R31" s="33">
        <v>146.22</v>
      </c>
      <c r="S31" s="33">
        <v>245.97</v>
      </c>
      <c r="T31" s="33">
        <v>3600</v>
      </c>
      <c r="U31" s="6">
        <f t="shared" ref="U31:U53" si="7">(S31-R31)/S31</f>
        <v>0.405537260641542</v>
      </c>
      <c r="V31" s="33">
        <v>150.51</v>
      </c>
      <c r="W31" s="33">
        <v>243.36</v>
      </c>
      <c r="X31" s="33">
        <v>1930.11</v>
      </c>
      <c r="Y31" s="6">
        <f t="shared" si="4"/>
        <v>0.381533530571992</v>
      </c>
    </row>
    <row r="32" spans="1:25">
      <c r="A32" s="2" t="s">
        <v>186</v>
      </c>
      <c r="B32" s="22">
        <v>160.82</v>
      </c>
      <c r="C32" s="22">
        <v>209.67</v>
      </c>
      <c r="D32" s="33">
        <v>1059.73</v>
      </c>
      <c r="E32" s="6">
        <f t="shared" si="5"/>
        <v>0.232985167167454</v>
      </c>
      <c r="F32" t="s">
        <v>158</v>
      </c>
      <c r="G32" s="33">
        <v>419.01</v>
      </c>
      <c r="H32">
        <v>3600</v>
      </c>
      <c r="I32" t="s">
        <v>158</v>
      </c>
      <c r="J32" t="s">
        <v>158</v>
      </c>
      <c r="K32" s="35">
        <v>427.16</v>
      </c>
      <c r="L32">
        <v>3600</v>
      </c>
      <c r="M32" t="s">
        <v>158</v>
      </c>
      <c r="N32" s="33">
        <v>138.03</v>
      </c>
      <c r="O32" s="33">
        <v>237.08</v>
      </c>
      <c r="P32" s="33">
        <v>2026.68</v>
      </c>
      <c r="Q32" s="6">
        <f t="shared" si="6"/>
        <v>0.417791462797368</v>
      </c>
      <c r="R32" s="33">
        <v>116.12</v>
      </c>
      <c r="S32" s="33">
        <v>241.7</v>
      </c>
      <c r="T32" s="33">
        <v>3600</v>
      </c>
      <c r="U32" s="6">
        <f t="shared" si="7"/>
        <v>0.519569714522135</v>
      </c>
      <c r="V32" s="33">
        <v>136.4</v>
      </c>
      <c r="W32" s="33">
        <v>237.63</v>
      </c>
      <c r="X32" s="33">
        <v>2081.66</v>
      </c>
      <c r="Y32" s="6">
        <f t="shared" si="4"/>
        <v>0.42599840087531</v>
      </c>
    </row>
    <row r="33" spans="1:25">
      <c r="A33" s="2" t="s">
        <v>187</v>
      </c>
      <c r="B33" s="22">
        <v>212.63</v>
      </c>
      <c r="C33" s="22">
        <v>261.48</v>
      </c>
      <c r="D33" s="33">
        <v>831.54</v>
      </c>
      <c r="E33" s="6">
        <f t="shared" si="5"/>
        <v>0.186821171791342</v>
      </c>
      <c r="F33" t="s">
        <v>158</v>
      </c>
      <c r="G33" s="33">
        <v>416.42</v>
      </c>
      <c r="H33">
        <v>3600</v>
      </c>
      <c r="I33" t="s">
        <v>158</v>
      </c>
      <c r="J33" t="s">
        <v>158</v>
      </c>
      <c r="K33" s="35">
        <v>425.66</v>
      </c>
      <c r="L33">
        <v>3600</v>
      </c>
      <c r="M33" t="s">
        <v>158</v>
      </c>
      <c r="N33" s="33">
        <v>200.94</v>
      </c>
      <c r="O33" s="33">
        <v>294.31</v>
      </c>
      <c r="P33" s="33">
        <v>979.89</v>
      </c>
      <c r="Q33" s="6">
        <f t="shared" si="6"/>
        <v>0.317250518161123</v>
      </c>
      <c r="R33" s="33">
        <v>172.28</v>
      </c>
      <c r="S33" s="33">
        <v>307.35</v>
      </c>
      <c r="T33" s="33">
        <v>3600</v>
      </c>
      <c r="U33" s="6">
        <f t="shared" si="7"/>
        <v>0.439466406377095</v>
      </c>
      <c r="V33" s="33">
        <v>196.66</v>
      </c>
      <c r="W33" s="33">
        <v>295.92</v>
      </c>
      <c r="X33" s="33">
        <v>1923.55</v>
      </c>
      <c r="Y33" s="6">
        <f t="shared" si="4"/>
        <v>0.335428494187618</v>
      </c>
    </row>
    <row r="34" spans="1:25">
      <c r="A34" s="2" t="s">
        <v>188</v>
      </c>
      <c r="B34" s="22">
        <v>127.29</v>
      </c>
      <c r="C34" s="22">
        <v>146.14</v>
      </c>
      <c r="D34" s="33">
        <v>820.7</v>
      </c>
      <c r="E34" s="6">
        <f t="shared" si="5"/>
        <v>0.12898590392774</v>
      </c>
      <c r="F34" t="s">
        <v>158</v>
      </c>
      <c r="G34" s="33">
        <v>443.72</v>
      </c>
      <c r="H34">
        <v>3600</v>
      </c>
      <c r="I34" t="s">
        <v>158</v>
      </c>
      <c r="J34" t="s">
        <v>158</v>
      </c>
      <c r="K34" s="35">
        <v>466.14</v>
      </c>
      <c r="L34">
        <v>3600</v>
      </c>
      <c r="M34" t="s">
        <v>158</v>
      </c>
      <c r="N34" s="33">
        <v>117.92</v>
      </c>
      <c r="O34" s="33">
        <v>195.02</v>
      </c>
      <c r="P34" s="33">
        <v>1720.8</v>
      </c>
      <c r="Q34" s="6">
        <f t="shared" si="6"/>
        <v>0.395344067275151</v>
      </c>
      <c r="R34" s="33">
        <v>106.75</v>
      </c>
      <c r="S34" s="33">
        <v>199.14</v>
      </c>
      <c r="T34" s="33">
        <v>3600</v>
      </c>
      <c r="U34" s="6">
        <f t="shared" si="7"/>
        <v>0.463944963342372</v>
      </c>
      <c r="V34" s="33">
        <v>115.28</v>
      </c>
      <c r="W34" s="33">
        <v>195.04</v>
      </c>
      <c r="X34" s="33">
        <v>2050.19</v>
      </c>
      <c r="Y34" s="6">
        <f t="shared" si="4"/>
        <v>0.408941755537326</v>
      </c>
    </row>
    <row r="35" spans="1:25">
      <c r="A35" s="2" t="s">
        <v>189</v>
      </c>
      <c r="B35" s="22">
        <v>233.52</v>
      </c>
      <c r="C35" s="22">
        <v>252.37</v>
      </c>
      <c r="D35" s="33">
        <v>1105.8</v>
      </c>
      <c r="E35" s="6">
        <f t="shared" si="5"/>
        <v>0.0746919205927804</v>
      </c>
      <c r="F35" t="s">
        <v>158</v>
      </c>
      <c r="G35" s="33">
        <v>451.68</v>
      </c>
      <c r="H35">
        <v>3600</v>
      </c>
      <c r="I35" t="s">
        <v>158</v>
      </c>
      <c r="J35" t="s">
        <v>158</v>
      </c>
      <c r="K35" s="35">
        <v>493.25</v>
      </c>
      <c r="L35">
        <v>3600</v>
      </c>
      <c r="M35" t="s">
        <v>158</v>
      </c>
      <c r="N35" s="33">
        <v>213.07</v>
      </c>
      <c r="O35" s="33">
        <v>264.47</v>
      </c>
      <c r="P35" s="33">
        <v>1404.54</v>
      </c>
      <c r="Q35" s="6">
        <f t="shared" si="6"/>
        <v>0.19435096608311</v>
      </c>
      <c r="R35" s="33">
        <v>191.37</v>
      </c>
      <c r="S35" s="33">
        <v>269.27</v>
      </c>
      <c r="T35" s="33">
        <v>3600</v>
      </c>
      <c r="U35" s="6">
        <f t="shared" si="7"/>
        <v>0.289300701897723</v>
      </c>
      <c r="V35" s="33">
        <v>199.84</v>
      </c>
      <c r="W35" s="33">
        <v>267.04</v>
      </c>
      <c r="X35" s="33">
        <v>1997.83</v>
      </c>
      <c r="Y35" s="6">
        <f t="shared" si="4"/>
        <v>0.251647693229479</v>
      </c>
    </row>
    <row r="36" spans="1:25">
      <c r="A36" s="2" t="s">
        <v>190</v>
      </c>
      <c r="B36" s="22">
        <v>268.48</v>
      </c>
      <c r="C36" s="22">
        <v>287.33</v>
      </c>
      <c r="D36" s="33">
        <v>968.87</v>
      </c>
      <c r="E36" s="6">
        <f t="shared" si="5"/>
        <v>0.0656040093272543</v>
      </c>
      <c r="F36" t="s">
        <v>158</v>
      </c>
      <c r="G36" s="33">
        <v>462.23</v>
      </c>
      <c r="H36">
        <v>3600</v>
      </c>
      <c r="I36" t="s">
        <v>158</v>
      </c>
      <c r="J36" t="s">
        <v>158</v>
      </c>
      <c r="K36" s="35">
        <v>510.68</v>
      </c>
      <c r="L36">
        <v>3600</v>
      </c>
      <c r="M36" t="s">
        <v>158</v>
      </c>
      <c r="N36" s="33">
        <v>254.22</v>
      </c>
      <c r="O36" s="33">
        <v>289.8</v>
      </c>
      <c r="P36" s="33">
        <v>1704.34</v>
      </c>
      <c r="Q36" s="6">
        <f t="shared" si="6"/>
        <v>0.122774327122153</v>
      </c>
      <c r="R36" s="33">
        <v>231.85</v>
      </c>
      <c r="S36" s="33">
        <v>290.41</v>
      </c>
      <c r="T36" s="33">
        <v>3600</v>
      </c>
      <c r="U36" s="6">
        <f t="shared" si="7"/>
        <v>0.201645948830963</v>
      </c>
      <c r="V36" s="33">
        <v>246.55</v>
      </c>
      <c r="W36" s="33">
        <v>290.37</v>
      </c>
      <c r="X36" s="33">
        <v>2044.92</v>
      </c>
      <c r="Y36" s="6">
        <f t="shared" si="4"/>
        <v>0.150910906774116</v>
      </c>
    </row>
    <row r="37" spans="1:25">
      <c r="A37" s="2" t="s">
        <v>191</v>
      </c>
      <c r="B37" s="22">
        <v>302.16</v>
      </c>
      <c r="C37" s="22">
        <v>321.01</v>
      </c>
      <c r="D37" s="33">
        <v>1259.62</v>
      </c>
      <c r="E37" s="6">
        <f t="shared" si="5"/>
        <v>0.0587209121211176</v>
      </c>
      <c r="F37" t="s">
        <v>158</v>
      </c>
      <c r="G37" s="33">
        <v>462.05</v>
      </c>
      <c r="H37">
        <v>3600</v>
      </c>
      <c r="I37" t="s">
        <v>158</v>
      </c>
      <c r="J37" t="s">
        <v>158</v>
      </c>
      <c r="K37" s="35">
        <v>486.33</v>
      </c>
      <c r="L37">
        <v>3600</v>
      </c>
      <c r="M37" t="s">
        <v>158</v>
      </c>
      <c r="N37" s="33">
        <v>293.19</v>
      </c>
      <c r="O37" s="33">
        <v>347.38</v>
      </c>
      <c r="P37" s="33">
        <v>2345.47</v>
      </c>
      <c r="Q37" s="6">
        <f t="shared" si="6"/>
        <v>0.155996315274339</v>
      </c>
      <c r="R37" s="33">
        <v>276.96</v>
      </c>
      <c r="S37" s="33">
        <v>353.2</v>
      </c>
      <c r="T37" s="33">
        <v>3600</v>
      </c>
      <c r="U37" s="6">
        <f t="shared" si="7"/>
        <v>0.215855039637599</v>
      </c>
      <c r="V37" s="33">
        <v>290.97</v>
      </c>
      <c r="W37" s="33">
        <v>353.01</v>
      </c>
      <c r="X37" s="33">
        <v>2020.65</v>
      </c>
      <c r="Y37" s="6">
        <f t="shared" si="4"/>
        <v>0.175745729582731</v>
      </c>
    </row>
    <row r="38" spans="1:25">
      <c r="A38" s="2" t="s">
        <v>192</v>
      </c>
      <c r="B38" s="22">
        <v>136.57</v>
      </c>
      <c r="C38" s="22">
        <v>185.42</v>
      </c>
      <c r="D38" s="33">
        <v>1374.87</v>
      </c>
      <c r="E38" s="6">
        <f t="shared" si="5"/>
        <v>0.26345593787078</v>
      </c>
      <c r="F38" t="s">
        <v>158</v>
      </c>
      <c r="G38" s="33">
        <v>426.44</v>
      </c>
      <c r="H38">
        <v>3600</v>
      </c>
      <c r="I38" t="s">
        <v>158</v>
      </c>
      <c r="J38" t="s">
        <v>158</v>
      </c>
      <c r="K38" s="35">
        <v>474.39</v>
      </c>
      <c r="L38">
        <v>3600</v>
      </c>
      <c r="M38" t="s">
        <v>158</v>
      </c>
      <c r="N38" s="33">
        <v>120.1</v>
      </c>
      <c r="O38" s="33">
        <v>205.38</v>
      </c>
      <c r="P38" s="33">
        <v>1561.69</v>
      </c>
      <c r="Q38" s="6">
        <f t="shared" si="6"/>
        <v>0.415230304800857</v>
      </c>
      <c r="R38" s="33">
        <v>117.93</v>
      </c>
      <c r="S38" s="33">
        <v>212.74</v>
      </c>
      <c r="T38" s="33">
        <v>3600</v>
      </c>
      <c r="U38" s="6">
        <f t="shared" si="7"/>
        <v>0.445661370687224</v>
      </c>
      <c r="V38" s="33">
        <v>119.99</v>
      </c>
      <c r="W38" s="33">
        <v>212.26</v>
      </c>
      <c r="X38" s="33">
        <v>1919.74</v>
      </c>
      <c r="Y38" s="6">
        <f t="shared" si="4"/>
        <v>0.434702723075473</v>
      </c>
    </row>
    <row r="39" s="36" customFormat="1" spans="1:25">
      <c r="A39" s="47" t="s">
        <v>193</v>
      </c>
      <c r="B39" s="48">
        <v>157.72</v>
      </c>
      <c r="C39" s="48">
        <v>199.36</v>
      </c>
      <c r="D39" s="35">
        <v>1285.85</v>
      </c>
      <c r="E39" s="6">
        <f t="shared" si="5"/>
        <v>0.208868378812199</v>
      </c>
      <c r="F39" s="36" t="s">
        <v>158</v>
      </c>
      <c r="G39" s="33">
        <v>484.39</v>
      </c>
      <c r="H39">
        <v>3600</v>
      </c>
      <c r="I39" s="36" t="s">
        <v>158</v>
      </c>
      <c r="J39" s="36" t="s">
        <v>158</v>
      </c>
      <c r="K39" s="35">
        <v>498.18</v>
      </c>
      <c r="L39">
        <v>3600</v>
      </c>
      <c r="M39" s="36" t="s">
        <v>158</v>
      </c>
      <c r="N39" s="33">
        <v>147.81</v>
      </c>
      <c r="O39" s="33">
        <v>218.56</v>
      </c>
      <c r="P39" s="33">
        <v>1696.83</v>
      </c>
      <c r="Q39" s="6">
        <f t="shared" si="6"/>
        <v>0.323709736456808</v>
      </c>
      <c r="R39" s="33">
        <v>136.89</v>
      </c>
      <c r="S39" s="33">
        <v>219.13</v>
      </c>
      <c r="T39" s="33">
        <v>3600</v>
      </c>
      <c r="U39" s="6">
        <f t="shared" si="7"/>
        <v>0.375302331949071</v>
      </c>
      <c r="V39" s="33">
        <v>144.97</v>
      </c>
      <c r="W39" s="33">
        <v>218.95</v>
      </c>
      <c r="X39" s="33">
        <v>1955.91</v>
      </c>
      <c r="Y39" s="6">
        <f t="shared" si="4"/>
        <v>0.337885361954784</v>
      </c>
    </row>
    <row r="40" spans="1:25">
      <c r="A40" s="2" t="s">
        <v>194</v>
      </c>
      <c r="B40" s="22">
        <v>160.82</v>
      </c>
      <c r="C40" s="22">
        <v>209.67</v>
      </c>
      <c r="D40" s="33">
        <v>702.08</v>
      </c>
      <c r="E40" s="6">
        <f t="shared" si="5"/>
        <v>0.232985167167454</v>
      </c>
      <c r="F40" t="s">
        <v>158</v>
      </c>
      <c r="G40" s="33">
        <v>510.05</v>
      </c>
      <c r="H40">
        <v>3600</v>
      </c>
      <c r="I40" t="s">
        <v>158</v>
      </c>
      <c r="J40" t="s">
        <v>158</v>
      </c>
      <c r="K40" s="35">
        <v>516.23</v>
      </c>
      <c r="L40">
        <v>3600</v>
      </c>
      <c r="M40" t="s">
        <v>158</v>
      </c>
      <c r="N40" s="33">
        <v>141.49</v>
      </c>
      <c r="O40" s="33">
        <v>218.47</v>
      </c>
      <c r="P40" s="33">
        <v>1824.68</v>
      </c>
      <c r="Q40" s="6">
        <f t="shared" si="6"/>
        <v>0.352359591705955</v>
      </c>
      <c r="R40" s="33">
        <v>133.63</v>
      </c>
      <c r="S40" s="33">
        <v>219.36</v>
      </c>
      <c r="T40" s="33">
        <v>3600</v>
      </c>
      <c r="U40" s="6">
        <f t="shared" si="7"/>
        <v>0.390818745441284</v>
      </c>
      <c r="V40" s="33">
        <v>140.55</v>
      </c>
      <c r="W40" s="33">
        <v>218.85</v>
      </c>
      <c r="X40" s="33">
        <v>1926.73</v>
      </c>
      <c r="Y40" s="6">
        <f t="shared" si="4"/>
        <v>0.357779300891021</v>
      </c>
    </row>
    <row r="41" spans="1:25">
      <c r="A41" s="2" t="s">
        <v>195</v>
      </c>
      <c r="B41" s="22">
        <v>212.63</v>
      </c>
      <c r="C41" s="22">
        <v>261.48</v>
      </c>
      <c r="D41" s="33">
        <v>1243.11</v>
      </c>
      <c r="E41" s="6">
        <f t="shared" si="5"/>
        <v>0.186821171791342</v>
      </c>
      <c r="F41" t="s">
        <v>158</v>
      </c>
      <c r="G41" s="33">
        <v>493.36</v>
      </c>
      <c r="H41">
        <v>3600</v>
      </c>
      <c r="I41" t="s">
        <v>158</v>
      </c>
      <c r="J41" t="s">
        <v>158</v>
      </c>
      <c r="K41" s="35">
        <v>506.13</v>
      </c>
      <c r="L41">
        <v>3600</v>
      </c>
      <c r="M41" t="s">
        <v>158</v>
      </c>
      <c r="N41" s="33">
        <v>188.73</v>
      </c>
      <c r="O41" s="33">
        <v>278.99</v>
      </c>
      <c r="P41" s="33">
        <v>1444.77</v>
      </c>
      <c r="Q41" s="6">
        <f t="shared" si="6"/>
        <v>0.323524140650203</v>
      </c>
      <c r="R41" s="33">
        <v>169.54</v>
      </c>
      <c r="S41" s="33">
        <v>283.49</v>
      </c>
      <c r="T41" s="33">
        <v>3600</v>
      </c>
      <c r="U41" s="6">
        <f t="shared" si="7"/>
        <v>0.401954213552506</v>
      </c>
      <c r="V41" s="33">
        <v>185.38</v>
      </c>
      <c r="W41" s="33">
        <v>279.72</v>
      </c>
      <c r="X41" s="33">
        <v>1969.99</v>
      </c>
      <c r="Y41" s="6">
        <f t="shared" si="4"/>
        <v>0.337265837265837</v>
      </c>
    </row>
    <row r="42" spans="1:25">
      <c r="A42" s="2" t="s">
        <v>196</v>
      </c>
      <c r="B42" s="22">
        <v>146.07</v>
      </c>
      <c r="C42" s="22">
        <v>164.92</v>
      </c>
      <c r="D42" s="33">
        <v>1296.72</v>
      </c>
      <c r="E42" s="6">
        <f t="shared" si="5"/>
        <v>0.114297841377638</v>
      </c>
      <c r="F42" t="s">
        <v>158</v>
      </c>
      <c r="G42" s="33">
        <v>488.74</v>
      </c>
      <c r="H42">
        <v>3600</v>
      </c>
      <c r="I42" t="s">
        <v>158</v>
      </c>
      <c r="J42" t="s">
        <v>158</v>
      </c>
      <c r="K42" s="35">
        <v>497.43</v>
      </c>
      <c r="L42">
        <v>3600</v>
      </c>
      <c r="M42" t="s">
        <v>158</v>
      </c>
      <c r="N42" s="33">
        <v>124.29</v>
      </c>
      <c r="O42" s="33">
        <v>166.52</v>
      </c>
      <c r="P42" s="33">
        <v>1672.26</v>
      </c>
      <c r="Q42" s="6">
        <f t="shared" si="6"/>
        <v>0.253603170790295</v>
      </c>
      <c r="R42" s="33">
        <v>103.14</v>
      </c>
      <c r="S42" s="33">
        <v>166.61</v>
      </c>
      <c r="T42" s="33">
        <v>3600</v>
      </c>
      <c r="U42" s="6">
        <f t="shared" si="7"/>
        <v>0.380949522837765</v>
      </c>
      <c r="V42" s="33">
        <v>111.22</v>
      </c>
      <c r="W42" s="33">
        <v>166.58</v>
      </c>
      <c r="X42" s="33">
        <v>1907.04</v>
      </c>
      <c r="Y42" s="6">
        <f t="shared" si="4"/>
        <v>0.332332813062793</v>
      </c>
    </row>
    <row r="43" spans="1:25">
      <c r="A43" s="2" t="s">
        <v>197</v>
      </c>
      <c r="B43" s="22">
        <v>233.37</v>
      </c>
      <c r="C43" s="22">
        <v>252.22</v>
      </c>
      <c r="D43" s="33">
        <v>739.28</v>
      </c>
      <c r="E43" s="6">
        <f t="shared" si="5"/>
        <v>0.0747363412893505</v>
      </c>
      <c r="F43" t="s">
        <v>158</v>
      </c>
      <c r="G43" s="33">
        <v>447.19</v>
      </c>
      <c r="H43">
        <v>3600</v>
      </c>
      <c r="I43" t="s">
        <v>158</v>
      </c>
      <c r="J43" t="s">
        <v>158</v>
      </c>
      <c r="K43" s="35">
        <v>468.33</v>
      </c>
      <c r="L43">
        <v>3600</v>
      </c>
      <c r="M43" t="s">
        <v>158</v>
      </c>
      <c r="N43" s="33">
        <v>208.47</v>
      </c>
      <c r="O43" s="33">
        <v>284.71</v>
      </c>
      <c r="P43" s="33">
        <v>1167.72</v>
      </c>
      <c r="Q43" s="6">
        <f t="shared" si="6"/>
        <v>0.267781251097608</v>
      </c>
      <c r="R43" s="33">
        <v>185.79</v>
      </c>
      <c r="S43" s="33">
        <v>291.33</v>
      </c>
      <c r="T43" s="33">
        <v>3600</v>
      </c>
      <c r="U43" s="6">
        <f t="shared" si="7"/>
        <v>0.362269591185254</v>
      </c>
      <c r="V43" s="33">
        <v>202.09</v>
      </c>
      <c r="W43" s="33">
        <v>287.81</v>
      </c>
      <c r="X43" s="33">
        <v>1910.43</v>
      </c>
      <c r="Y43" s="6">
        <f t="shared" si="4"/>
        <v>0.297835377505994</v>
      </c>
    </row>
    <row r="44" spans="1:25">
      <c r="A44" s="2" t="s">
        <v>198</v>
      </c>
      <c r="B44" s="22">
        <v>268.48</v>
      </c>
      <c r="C44" s="22">
        <v>287.33</v>
      </c>
      <c r="D44" s="33">
        <v>792.71</v>
      </c>
      <c r="E44" s="6">
        <f t="shared" si="5"/>
        <v>0.0656040093272543</v>
      </c>
      <c r="F44" t="s">
        <v>158</v>
      </c>
      <c r="G44" s="33">
        <v>520.33</v>
      </c>
      <c r="H44">
        <v>3600</v>
      </c>
      <c r="I44" t="s">
        <v>158</v>
      </c>
      <c r="J44" t="s">
        <v>158</v>
      </c>
      <c r="K44" s="35">
        <v>566.33</v>
      </c>
      <c r="L44">
        <v>3600</v>
      </c>
      <c r="M44" t="s">
        <v>158</v>
      </c>
      <c r="N44" s="33">
        <v>250.43</v>
      </c>
      <c r="O44" s="33">
        <v>307.57</v>
      </c>
      <c r="P44" s="33">
        <v>1162.23</v>
      </c>
      <c r="Q44" s="6">
        <f t="shared" si="6"/>
        <v>0.185778847091719</v>
      </c>
      <c r="R44" s="33">
        <v>228.09</v>
      </c>
      <c r="S44" s="33">
        <v>312.67</v>
      </c>
      <c r="T44" s="33">
        <v>3600</v>
      </c>
      <c r="U44" s="6">
        <f t="shared" si="7"/>
        <v>0.270508843189305</v>
      </c>
      <c r="V44" s="33">
        <v>243.62</v>
      </c>
      <c r="W44" s="33">
        <v>310.32</v>
      </c>
      <c r="X44" s="33">
        <v>1997.21</v>
      </c>
      <c r="Y44" s="6">
        <f t="shared" si="4"/>
        <v>0.214939417375612</v>
      </c>
    </row>
    <row r="45" spans="1:25">
      <c r="A45" s="2" t="s">
        <v>199</v>
      </c>
      <c r="B45" s="22">
        <v>302.16</v>
      </c>
      <c r="C45" s="22">
        <v>321.01</v>
      </c>
      <c r="D45" s="33">
        <v>773.65</v>
      </c>
      <c r="E45" s="6">
        <f t="shared" si="5"/>
        <v>0.0587209121211176</v>
      </c>
      <c r="F45" t="s">
        <v>158</v>
      </c>
      <c r="G45" s="33">
        <v>566.95</v>
      </c>
      <c r="H45">
        <v>3600</v>
      </c>
      <c r="I45" t="s">
        <v>158</v>
      </c>
      <c r="J45" t="s">
        <v>158</v>
      </c>
      <c r="K45" s="35">
        <v>585.85</v>
      </c>
      <c r="L45">
        <v>3600</v>
      </c>
      <c r="M45" t="s">
        <v>158</v>
      </c>
      <c r="N45" s="33">
        <v>285.43</v>
      </c>
      <c r="O45" s="33">
        <v>340</v>
      </c>
      <c r="P45" s="33">
        <v>936.3</v>
      </c>
      <c r="Q45" s="6">
        <f t="shared" si="6"/>
        <v>0.1605</v>
      </c>
      <c r="R45" s="33">
        <v>267.76</v>
      </c>
      <c r="S45" s="33">
        <v>345.45</v>
      </c>
      <c r="T45" s="33">
        <v>3600</v>
      </c>
      <c r="U45" s="6">
        <f t="shared" si="7"/>
        <v>0.224895064408742</v>
      </c>
      <c r="V45" s="33">
        <v>278.81</v>
      </c>
      <c r="W45" s="33">
        <v>344.14</v>
      </c>
      <c r="X45" s="33">
        <v>1910.49</v>
      </c>
      <c r="Y45" s="6">
        <f t="shared" si="4"/>
        <v>0.189835532050909</v>
      </c>
    </row>
    <row r="46" spans="1:25">
      <c r="A46" s="2" t="s">
        <v>200</v>
      </c>
      <c r="B46" s="22">
        <v>136.57</v>
      </c>
      <c r="C46" s="22">
        <v>185.42</v>
      </c>
      <c r="D46" s="33">
        <v>914.5</v>
      </c>
      <c r="E46" s="6">
        <f t="shared" si="5"/>
        <v>0.26345593787078</v>
      </c>
      <c r="F46" t="s">
        <v>158</v>
      </c>
      <c r="G46" s="33">
        <v>503.54</v>
      </c>
      <c r="H46">
        <v>3600</v>
      </c>
      <c r="I46" t="s">
        <v>158</v>
      </c>
      <c r="J46" t="s">
        <v>158</v>
      </c>
      <c r="K46" s="35">
        <v>538.72</v>
      </c>
      <c r="L46">
        <v>3600</v>
      </c>
      <c r="M46" t="s">
        <v>158</v>
      </c>
      <c r="N46" s="33">
        <v>117.62</v>
      </c>
      <c r="O46" s="33">
        <v>191.95</v>
      </c>
      <c r="P46" s="33">
        <v>1203.56</v>
      </c>
      <c r="Q46" s="6">
        <f t="shared" si="6"/>
        <v>0.387236259442563</v>
      </c>
      <c r="R46" s="33">
        <v>108.09</v>
      </c>
      <c r="S46" s="33">
        <v>192.19</v>
      </c>
      <c r="T46" s="33">
        <v>3600</v>
      </c>
      <c r="U46" s="6">
        <f t="shared" si="7"/>
        <v>0.437587803735886</v>
      </c>
      <c r="V46" s="33">
        <v>117.07</v>
      </c>
      <c r="W46" s="33">
        <v>192.1</v>
      </c>
      <c r="X46" s="33">
        <v>1913.33</v>
      </c>
      <c r="Y46" s="6">
        <f t="shared" si="4"/>
        <v>0.390577824049974</v>
      </c>
    </row>
    <row r="47" s="36" customFormat="1" spans="1:25">
      <c r="A47" s="47" t="s">
        <v>201</v>
      </c>
      <c r="B47" s="48">
        <v>163.5</v>
      </c>
      <c r="C47" s="48">
        <v>205.8</v>
      </c>
      <c r="D47" s="35">
        <v>1303.87</v>
      </c>
      <c r="E47" s="6">
        <f t="shared" si="5"/>
        <v>0.205539358600583</v>
      </c>
      <c r="F47" s="36" t="s">
        <v>158</v>
      </c>
      <c r="G47" s="33">
        <v>547.54</v>
      </c>
      <c r="H47">
        <v>3600</v>
      </c>
      <c r="I47" s="36" t="s">
        <v>158</v>
      </c>
      <c r="J47" s="36" t="s">
        <v>158</v>
      </c>
      <c r="K47" s="35">
        <v>575.76</v>
      </c>
      <c r="L47">
        <v>3600</v>
      </c>
      <c r="M47" s="36" t="s">
        <v>158</v>
      </c>
      <c r="N47" s="33">
        <v>159.25</v>
      </c>
      <c r="O47" s="33">
        <v>235.99</v>
      </c>
      <c r="P47" s="33">
        <v>1813.86</v>
      </c>
      <c r="Q47" s="6">
        <f t="shared" si="6"/>
        <v>0.325183270477563</v>
      </c>
      <c r="R47" s="33">
        <v>140.54</v>
      </c>
      <c r="S47" s="33">
        <v>239.04</v>
      </c>
      <c r="T47" s="33">
        <v>3600</v>
      </c>
      <c r="U47" s="6">
        <f t="shared" si="7"/>
        <v>0.412064926372155</v>
      </c>
      <c r="V47" s="33">
        <v>157.34</v>
      </c>
      <c r="W47" s="33">
        <v>237.53</v>
      </c>
      <c r="X47" s="33">
        <v>1978.43</v>
      </c>
      <c r="Y47" s="6">
        <f t="shared" si="4"/>
        <v>0.337599461120701</v>
      </c>
    </row>
    <row r="48" spans="1:25">
      <c r="A48" s="2" t="s">
        <v>202</v>
      </c>
      <c r="B48" s="22">
        <v>160.82</v>
      </c>
      <c r="C48" s="22">
        <v>209.67</v>
      </c>
      <c r="D48" s="33">
        <v>1082.64</v>
      </c>
      <c r="E48" s="6">
        <f t="shared" si="5"/>
        <v>0.232985167167454</v>
      </c>
      <c r="F48" t="s">
        <v>158</v>
      </c>
      <c r="G48" s="33">
        <v>462.28</v>
      </c>
      <c r="H48">
        <v>3600</v>
      </c>
      <c r="I48" t="s">
        <v>158</v>
      </c>
      <c r="J48" t="s">
        <v>158</v>
      </c>
      <c r="K48" s="35">
        <v>511.31</v>
      </c>
      <c r="L48">
        <v>3600</v>
      </c>
      <c r="M48" t="s">
        <v>158</v>
      </c>
      <c r="N48" s="33">
        <v>138</v>
      </c>
      <c r="O48" s="33">
        <v>237.18</v>
      </c>
      <c r="P48" s="33">
        <v>1863.41</v>
      </c>
      <c r="Q48" s="6">
        <f t="shared" si="6"/>
        <v>0.4181634201872</v>
      </c>
      <c r="R48" s="33">
        <v>108.17</v>
      </c>
      <c r="S48" s="33">
        <v>246.87</v>
      </c>
      <c r="T48" s="33">
        <v>3600</v>
      </c>
      <c r="U48" s="6">
        <f t="shared" si="7"/>
        <v>0.561834163729898</v>
      </c>
      <c r="V48" s="33">
        <v>125.62</v>
      </c>
      <c r="W48" s="33">
        <v>245.86</v>
      </c>
      <c r="X48" s="33">
        <v>2078.08</v>
      </c>
      <c r="Y48" s="6">
        <f t="shared" si="4"/>
        <v>0.489058813959164</v>
      </c>
    </row>
    <row r="49" spans="1:25">
      <c r="A49" s="2" t="s">
        <v>203</v>
      </c>
      <c r="B49" s="22">
        <v>212.63</v>
      </c>
      <c r="C49" s="22">
        <v>261.48</v>
      </c>
      <c r="D49" s="33">
        <v>793.55</v>
      </c>
      <c r="E49" s="6">
        <f t="shared" si="5"/>
        <v>0.186821171791342</v>
      </c>
      <c r="F49" t="s">
        <v>158</v>
      </c>
      <c r="G49" s="33">
        <v>535.48</v>
      </c>
      <c r="H49">
        <v>3600</v>
      </c>
      <c r="I49" t="s">
        <v>158</v>
      </c>
      <c r="J49" t="s">
        <v>158</v>
      </c>
      <c r="K49" s="35">
        <v>546.64</v>
      </c>
      <c r="L49">
        <v>3600</v>
      </c>
      <c r="M49" t="s">
        <v>158</v>
      </c>
      <c r="N49" s="33">
        <v>206.76</v>
      </c>
      <c r="O49" s="33">
        <v>292.39</v>
      </c>
      <c r="P49" s="33">
        <v>1064.39</v>
      </c>
      <c r="Q49" s="6">
        <f t="shared" si="6"/>
        <v>0.292862272991552</v>
      </c>
      <c r="R49" s="33">
        <v>189.23</v>
      </c>
      <c r="S49" s="33">
        <v>298.45</v>
      </c>
      <c r="T49" s="33">
        <v>3600</v>
      </c>
      <c r="U49" s="6">
        <f t="shared" si="7"/>
        <v>0.365957446808511</v>
      </c>
      <c r="V49" s="33">
        <v>204.95</v>
      </c>
      <c r="W49" s="33">
        <v>295.24</v>
      </c>
      <c r="X49" s="33">
        <v>1956.64</v>
      </c>
      <c r="Y49" s="6">
        <f t="shared" si="4"/>
        <v>0.305818994716163</v>
      </c>
    </row>
    <row r="50" spans="1:25">
      <c r="A50" s="2" t="s">
        <v>204</v>
      </c>
      <c r="B50" s="22">
        <v>127.29</v>
      </c>
      <c r="C50" s="22">
        <v>146.14</v>
      </c>
      <c r="D50" s="33">
        <v>869.44</v>
      </c>
      <c r="E50" s="6">
        <f t="shared" si="5"/>
        <v>0.12898590392774</v>
      </c>
      <c r="F50" t="s">
        <v>158</v>
      </c>
      <c r="G50" s="33">
        <v>611.06</v>
      </c>
      <c r="H50">
        <v>3600</v>
      </c>
      <c r="I50" t="s">
        <v>158</v>
      </c>
      <c r="J50" t="s">
        <v>158</v>
      </c>
      <c r="K50" s="35">
        <v>611.53</v>
      </c>
      <c r="L50">
        <v>3600</v>
      </c>
      <c r="M50" t="s">
        <v>158</v>
      </c>
      <c r="N50" s="33">
        <v>102.85</v>
      </c>
      <c r="O50" s="33">
        <v>197.14</v>
      </c>
      <c r="P50" s="33">
        <v>1199.04</v>
      </c>
      <c r="Q50" s="6">
        <f t="shared" si="6"/>
        <v>0.478289540428122</v>
      </c>
      <c r="R50" s="33">
        <v>93.8</v>
      </c>
      <c r="S50" s="33">
        <v>209.38</v>
      </c>
      <c r="T50" s="33">
        <v>3600</v>
      </c>
      <c r="U50" s="6">
        <f t="shared" si="7"/>
        <v>0.552010698251982</v>
      </c>
      <c r="V50" s="33">
        <v>94.2</v>
      </c>
      <c r="W50" s="33">
        <v>198.41</v>
      </c>
      <c r="X50" s="33">
        <v>1938.46</v>
      </c>
      <c r="Y50" s="6">
        <f t="shared" si="4"/>
        <v>0.525225543067386</v>
      </c>
    </row>
    <row r="51" spans="1:25">
      <c r="A51" s="2" t="s">
        <v>205</v>
      </c>
      <c r="B51" s="22">
        <v>233.37</v>
      </c>
      <c r="C51" s="22">
        <v>252.22</v>
      </c>
      <c r="D51" s="33">
        <v>944.6</v>
      </c>
      <c r="E51" s="6">
        <f t="shared" si="5"/>
        <v>0.0747363412893505</v>
      </c>
      <c r="F51" t="s">
        <v>158</v>
      </c>
      <c r="G51" s="33">
        <v>539.62</v>
      </c>
      <c r="H51">
        <v>3600</v>
      </c>
      <c r="I51" t="s">
        <v>158</v>
      </c>
      <c r="J51" t="s">
        <v>158</v>
      </c>
      <c r="K51" s="35">
        <v>543.26</v>
      </c>
      <c r="L51">
        <v>3600</v>
      </c>
      <c r="M51" t="s">
        <v>158</v>
      </c>
      <c r="N51" s="33">
        <v>229.49</v>
      </c>
      <c r="O51" s="33">
        <v>300.96</v>
      </c>
      <c r="P51" s="33">
        <v>1231.22</v>
      </c>
      <c r="Q51" s="6">
        <f t="shared" si="6"/>
        <v>0.237473418394471</v>
      </c>
      <c r="R51" s="33">
        <v>218.57</v>
      </c>
      <c r="S51" s="33">
        <v>309.25</v>
      </c>
      <c r="T51" s="33">
        <v>3600</v>
      </c>
      <c r="U51" s="6">
        <f t="shared" si="7"/>
        <v>0.29322554567502</v>
      </c>
      <c r="V51" s="33">
        <v>226.97</v>
      </c>
      <c r="W51" s="33">
        <v>308.97</v>
      </c>
      <c r="X51" s="33">
        <v>1916.57</v>
      </c>
      <c r="Y51" s="6">
        <f t="shared" si="4"/>
        <v>0.265397935074603</v>
      </c>
    </row>
    <row r="52" spans="1:25">
      <c r="A52" s="2" t="s">
        <v>206</v>
      </c>
      <c r="B52" s="22">
        <v>270.29</v>
      </c>
      <c r="C52" s="22">
        <v>289.14</v>
      </c>
      <c r="D52" s="33">
        <v>1049.26</v>
      </c>
      <c r="E52" s="6">
        <f t="shared" si="5"/>
        <v>0.0651933319499203</v>
      </c>
      <c r="F52" t="s">
        <v>158</v>
      </c>
      <c r="G52" s="33">
        <v>557.18</v>
      </c>
      <c r="H52">
        <v>3600</v>
      </c>
      <c r="I52" t="s">
        <v>158</v>
      </c>
      <c r="J52" t="s">
        <v>158</v>
      </c>
      <c r="K52" s="35">
        <v>586.01</v>
      </c>
      <c r="L52">
        <v>3600</v>
      </c>
      <c r="M52" t="s">
        <v>158</v>
      </c>
      <c r="N52" s="33">
        <v>264.82</v>
      </c>
      <c r="O52" s="33">
        <v>329.8</v>
      </c>
      <c r="P52" s="33">
        <v>1072.58</v>
      </c>
      <c r="Q52" s="6">
        <f t="shared" si="6"/>
        <v>0.197028502122499</v>
      </c>
      <c r="R52" s="33">
        <v>242.92</v>
      </c>
      <c r="S52" s="33">
        <v>341.83</v>
      </c>
      <c r="T52" s="33">
        <v>3600</v>
      </c>
      <c r="U52" s="6">
        <f t="shared" si="7"/>
        <v>0.289354357429131</v>
      </c>
      <c r="V52" s="33">
        <v>262.66</v>
      </c>
      <c r="W52" s="33">
        <v>341.46</v>
      </c>
      <c r="X52" s="33">
        <v>1912.71</v>
      </c>
      <c r="Y52" s="6">
        <f t="shared" si="4"/>
        <v>0.230773736308792</v>
      </c>
    </row>
    <row r="53" spans="1:25">
      <c r="A53" s="2" t="s">
        <v>207</v>
      </c>
      <c r="B53" s="22">
        <v>302.16</v>
      </c>
      <c r="C53" s="22">
        <v>321.01</v>
      </c>
      <c r="D53" s="33">
        <v>989.91</v>
      </c>
      <c r="E53" s="6">
        <f t="shared" si="5"/>
        <v>0.0587209121211176</v>
      </c>
      <c r="F53" t="s">
        <v>158</v>
      </c>
      <c r="G53" s="33">
        <v>500.86</v>
      </c>
      <c r="H53">
        <v>3600</v>
      </c>
      <c r="I53" t="s">
        <v>158</v>
      </c>
      <c r="J53" t="s">
        <v>158</v>
      </c>
      <c r="K53" s="35">
        <v>507.43</v>
      </c>
      <c r="L53">
        <v>3600</v>
      </c>
      <c r="M53" t="s">
        <v>158</v>
      </c>
      <c r="N53" s="33">
        <v>288.37</v>
      </c>
      <c r="O53" s="33">
        <v>327.7</v>
      </c>
      <c r="P53" s="33">
        <v>1529.46</v>
      </c>
      <c r="Q53" s="6">
        <f t="shared" si="6"/>
        <v>0.120018309429356</v>
      </c>
      <c r="R53" s="33">
        <v>258.21</v>
      </c>
      <c r="S53" s="33">
        <v>329.14</v>
      </c>
      <c r="T53" s="33">
        <v>3600</v>
      </c>
      <c r="U53" s="6">
        <f t="shared" si="7"/>
        <v>0.21550100261287</v>
      </c>
      <c r="V53" s="33">
        <v>279.69</v>
      </c>
      <c r="W53" s="33">
        <v>328.82</v>
      </c>
      <c r="X53" s="33">
        <v>2009.43</v>
      </c>
      <c r="Y53" s="6">
        <f t="shared" si="4"/>
        <v>0.149413052734019</v>
      </c>
    </row>
    <row r="54" spans="1:25">
      <c r="K54">
        <f>AVERAGE(K30:K53)</f>
        <v>504.259166666667</v>
      </c>
    </row>
  </sheetData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9"/>
  <sheetViews>
    <sheetView topLeftCell="A52" workbookViewId="0">
      <selection activeCell="H71" sqref="H71"/>
    </sheetView>
  </sheetViews>
  <sheetFormatPr defaultColWidth="8.72727272727273" defaultRowHeight="14" outlineLevelCol="7"/>
  <cols>
    <col min="1" max="1" width="19" customWidth="1"/>
    <col min="2" max="2" width="9.09090909090909" customWidth="1"/>
    <col min="3" max="3" width="9.63636363636364" customWidth="1"/>
    <col min="4" max="4" width="8.90909090909091" customWidth="1"/>
    <col min="5" max="5" width="12.8181818181818" customWidth="1"/>
    <col min="6" max="6" width="12.2727272727273" customWidth="1"/>
    <col min="7" max="7" width="15.9090909090909" customWidth="1"/>
    <col min="8" max="8" width="17.0909090909091" customWidth="1"/>
    <col min="9" max="9" width="12.8181818181818"/>
    <col min="10" max="10" width="10.5454545454545"/>
  </cols>
  <sheetData>
    <row r="1" s="3" customFormat="1" spans="1:6">
      <c r="A1" s="3" t="s">
        <v>0</v>
      </c>
      <c r="B1" s="3" t="s">
        <v>1</v>
      </c>
      <c r="E1" s="3" t="s">
        <v>208</v>
      </c>
      <c r="F1" s="3" t="s">
        <v>209</v>
      </c>
    </row>
    <row r="2" s="3" customFormat="1" spans="1:6">
      <c r="B2" s="3" t="s">
        <v>8</v>
      </c>
      <c r="C2" s="3" t="s">
        <v>9</v>
      </c>
      <c r="D2" s="3" t="s">
        <v>10</v>
      </c>
    </row>
    <row r="3" customFormat="1" spans="1:6">
      <c r="A3" s="3" t="s">
        <v>210</v>
      </c>
      <c r="B3">
        <v>36.996</v>
      </c>
      <c r="C3">
        <v>36.996</v>
      </c>
      <c r="E3" t="s">
        <v>158</v>
      </c>
      <c r="F3">
        <v>25.128</v>
      </c>
    </row>
    <row r="4" customFormat="1" spans="1:6">
      <c r="A4" s="3" t="s">
        <v>211</v>
      </c>
      <c r="B4">
        <v>38.5765</v>
      </c>
      <c r="C4">
        <v>38.5765</v>
      </c>
      <c r="E4" t="s">
        <v>158</v>
      </c>
      <c r="F4">
        <v>25.128</v>
      </c>
    </row>
    <row r="5" customFormat="1" spans="1:6">
      <c r="A5" s="3" t="s">
        <v>212</v>
      </c>
      <c r="B5">
        <v>38.5765</v>
      </c>
      <c r="C5">
        <v>38.5765</v>
      </c>
      <c r="E5" t="s">
        <v>158</v>
      </c>
      <c r="F5">
        <v>25.128</v>
      </c>
    </row>
    <row r="6" customFormat="1" spans="1:6">
      <c r="A6" s="3" t="s">
        <v>213</v>
      </c>
      <c r="B6">
        <v>39.7344</v>
      </c>
      <c r="C6">
        <v>39.7344</v>
      </c>
      <c r="E6">
        <v>32.43</v>
      </c>
      <c r="F6">
        <v>25.804</v>
      </c>
    </row>
    <row r="7" customFormat="1" spans="1:6">
      <c r="A7" s="3" t="s">
        <v>214</v>
      </c>
      <c r="B7">
        <v>40.1575</v>
      </c>
      <c r="C7">
        <v>40.1575</v>
      </c>
      <c r="E7">
        <v>32.43</v>
      </c>
      <c r="F7">
        <v>25.804</v>
      </c>
    </row>
    <row r="8" customFormat="1" spans="1:6">
      <c r="A8" s="3" t="s">
        <v>215</v>
      </c>
      <c r="B8">
        <v>40.1575</v>
      </c>
      <c r="C8">
        <v>40.1575</v>
      </c>
      <c r="E8">
        <v>32.43</v>
      </c>
      <c r="F8">
        <v>25.804</v>
      </c>
    </row>
    <row r="9" customFormat="1" spans="1:6">
      <c r="A9" s="3" t="s">
        <v>216</v>
      </c>
      <c r="B9">
        <v>40.8214</v>
      </c>
      <c r="C9">
        <v>40.8214</v>
      </c>
      <c r="E9">
        <v>33.281</v>
      </c>
      <c r="F9">
        <v>25.804</v>
      </c>
    </row>
    <row r="10" customFormat="1" spans="1:6">
      <c r="A10" s="3" t="s">
        <v>217</v>
      </c>
      <c r="B10">
        <v>41.2445</v>
      </c>
      <c r="C10">
        <v>41.2445</v>
      </c>
      <c r="E10">
        <v>33.281</v>
      </c>
      <c r="F10">
        <v>25.804</v>
      </c>
    </row>
    <row r="11" customFormat="1" spans="1:6">
      <c r="A11" s="3" t="s">
        <v>218</v>
      </c>
      <c r="B11">
        <v>41.2445</v>
      </c>
      <c r="C11">
        <v>41.2445</v>
      </c>
      <c r="E11">
        <v>33.281</v>
      </c>
      <c r="F11">
        <v>25.804</v>
      </c>
    </row>
    <row r="12" customFormat="1" spans="1:6">
      <c r="A12" s="3" t="s">
        <v>219</v>
      </c>
      <c r="B12">
        <v>40.8214</v>
      </c>
      <c r="C12">
        <v>40.8214</v>
      </c>
      <c r="E12">
        <v>33.281</v>
      </c>
      <c r="F12">
        <v>25.804</v>
      </c>
    </row>
    <row r="13" customFormat="1" spans="1:6">
      <c r="A13" s="3" t="s">
        <v>220</v>
      </c>
      <c r="B13">
        <v>41.2445</v>
      </c>
      <c r="C13">
        <v>41.2445</v>
      </c>
      <c r="E13">
        <v>33.281</v>
      </c>
      <c r="F13">
        <v>25.804</v>
      </c>
    </row>
    <row r="14" customFormat="1" spans="1:6">
      <c r="A14" s="3" t="s">
        <v>221</v>
      </c>
      <c r="B14">
        <v>41.2445</v>
      </c>
      <c r="C14">
        <v>41.2445</v>
      </c>
      <c r="E14">
        <v>33.281</v>
      </c>
      <c r="F14">
        <v>25.804</v>
      </c>
    </row>
    <row r="15" customFormat="1" spans="1:6">
      <c r="A15" s="3" t="s">
        <v>222</v>
      </c>
    </row>
    <row r="16" s="26" customFormat="1" spans="1:6">
      <c r="A16" s="12"/>
    </row>
    <row r="17" s="26" customFormat="1" spans="1:8">
      <c r="A17" s="3" t="s">
        <v>223</v>
      </c>
      <c r="B17" s="26">
        <v>39.196</v>
      </c>
      <c r="C17" s="26">
        <v>39.196</v>
      </c>
      <c r="E17" s="26">
        <v>32.478</v>
      </c>
      <c r="F17">
        <v>26.486</v>
      </c>
    </row>
    <row r="18" s="26" customFormat="1" spans="1:8">
      <c r="A18" s="3" t="s">
        <v>211</v>
      </c>
      <c r="B18" s="26">
        <v>40.0075</v>
      </c>
      <c r="C18" s="26">
        <v>40.0075</v>
      </c>
      <c r="E18" s="26">
        <v>32.478</v>
      </c>
      <c r="F18">
        <v>26.486</v>
      </c>
    </row>
    <row r="19" s="26" customFormat="1" spans="1:8">
      <c r="A19" s="3" t="s">
        <v>212</v>
      </c>
      <c r="B19" s="26">
        <v>40.0075</v>
      </c>
      <c r="C19" s="26">
        <v>40.0075</v>
      </c>
      <c r="E19" s="26">
        <v>33.328</v>
      </c>
      <c r="F19">
        <v>26.486</v>
      </c>
    </row>
    <row r="20" s="26" customFormat="1" spans="1:8">
      <c r="A20" s="3" t="s">
        <v>213</v>
      </c>
      <c r="B20" s="26">
        <v>40.2877</v>
      </c>
      <c r="C20" s="26">
        <v>40.2877</v>
      </c>
      <c r="E20" s="26">
        <v>33.328</v>
      </c>
      <c r="F20">
        <v>26.847</v>
      </c>
    </row>
    <row r="21" s="26" customFormat="1" spans="1:8">
      <c r="A21" s="3" t="s">
        <v>214</v>
      </c>
      <c r="B21" s="26">
        <v>41.0946</v>
      </c>
      <c r="C21" s="26">
        <v>41.0946</v>
      </c>
      <c r="E21" s="26">
        <v>33.328</v>
      </c>
      <c r="F21">
        <v>26.847</v>
      </c>
    </row>
    <row r="22" s="26" customFormat="1" spans="1:8">
      <c r="A22" s="3" t="s">
        <v>215</v>
      </c>
      <c r="B22" s="26">
        <v>41.0946</v>
      </c>
      <c r="C22" s="26">
        <v>41.0946</v>
      </c>
      <c r="E22" s="26">
        <v>33.77</v>
      </c>
      <c r="F22">
        <v>26.847</v>
      </c>
    </row>
    <row r="23" s="26" customFormat="1" spans="1:8">
      <c r="A23" s="3" t="s">
        <v>216</v>
      </c>
      <c r="B23" s="26">
        <v>40.8457</v>
      </c>
      <c r="C23" s="26">
        <v>40.8457</v>
      </c>
      <c r="E23" s="26">
        <v>33.77</v>
      </c>
      <c r="F23">
        <v>26.847</v>
      </c>
    </row>
    <row r="24" s="26" customFormat="1" spans="1:8">
      <c r="A24" s="3" t="s">
        <v>217</v>
      </c>
      <c r="B24" s="26">
        <v>41.6572</v>
      </c>
      <c r="C24" s="26">
        <v>41.6572</v>
      </c>
      <c r="E24" s="26">
        <v>33.77</v>
      </c>
      <c r="F24">
        <v>26.847</v>
      </c>
    </row>
    <row r="25" s="26" customFormat="1" spans="1:8">
      <c r="A25" s="3" t="s">
        <v>218</v>
      </c>
      <c r="B25" s="26">
        <v>41.6572</v>
      </c>
      <c r="C25" s="26">
        <v>41.6572</v>
      </c>
      <c r="E25" s="26">
        <v>33.77</v>
      </c>
      <c r="F25">
        <v>26.847</v>
      </c>
    </row>
    <row r="26" s="26" customFormat="1" spans="1:8">
      <c r="A26" s="3" t="s">
        <v>219</v>
      </c>
      <c r="B26" s="26">
        <v>40.8457</v>
      </c>
      <c r="C26" s="26">
        <v>40.8457</v>
      </c>
      <c r="E26" s="26">
        <v>33.77</v>
      </c>
      <c r="F26">
        <v>26.847</v>
      </c>
    </row>
    <row r="27" s="26" customFormat="1" spans="1:8">
      <c r="A27" s="3" t="s">
        <v>220</v>
      </c>
      <c r="B27" s="26">
        <v>41.6572</v>
      </c>
      <c r="C27" s="26">
        <v>41.6572</v>
      </c>
      <c r="E27" s="26">
        <v>33.77</v>
      </c>
      <c r="F27">
        <v>26.847</v>
      </c>
    </row>
    <row r="28" s="26" customFormat="1" spans="1:8">
      <c r="A28" s="3" t="s">
        <v>221</v>
      </c>
      <c r="B28" s="26">
        <v>41.6572</v>
      </c>
      <c r="C28" s="26">
        <v>41.6572</v>
      </c>
      <c r="E28" s="26">
        <v>33.77</v>
      </c>
      <c r="F28">
        <v>26.847</v>
      </c>
    </row>
    <row r="29" s="26" customFormat="1" spans="1:8">
      <c r="A29" s="3" t="s">
        <v>222</v>
      </c>
    </row>
    <row r="30" s="26" customFormat="1" spans="1:8">
      <c r="A30" s="12"/>
      <c r="G30"/>
    </row>
    <row r="31" s="3" customFormat="1" spans="1:8">
      <c r="A31" s="2"/>
    </row>
    <row r="32" customFormat="1" spans="1:8">
      <c r="H32" s="26"/>
    </row>
    <row r="33" customFormat="1" spans="1:8">
      <c r="A33" s="3" t="s">
        <v>224</v>
      </c>
      <c r="B33" s="24">
        <v>202.67</v>
      </c>
      <c r="C33" s="35">
        <v>204.809</v>
      </c>
      <c r="D33" s="36"/>
      <c r="E33">
        <v>113.561</v>
      </c>
      <c r="F33">
        <v>152.488</v>
      </c>
    </row>
    <row r="34" customFormat="1" spans="1:8">
      <c r="A34" s="3" t="s">
        <v>225</v>
      </c>
      <c r="B34" s="24">
        <v>205.408</v>
      </c>
      <c r="C34" s="24">
        <v>205.589</v>
      </c>
      <c r="E34">
        <v>113.561</v>
      </c>
      <c r="F34">
        <v>152.488</v>
      </c>
      <c r="G34" s="33"/>
    </row>
    <row r="35" customFormat="1" spans="1:8">
      <c r="A35" s="3" t="s">
        <v>226</v>
      </c>
      <c r="B35" s="24">
        <v>205.576</v>
      </c>
      <c r="C35" s="33">
        <v>205.576</v>
      </c>
      <c r="E35">
        <v>113.561</v>
      </c>
      <c r="F35">
        <v>152.488</v>
      </c>
      <c r="G35" s="33"/>
    </row>
    <row r="36" customFormat="1" spans="1:8">
      <c r="A36" s="3" t="s">
        <v>227</v>
      </c>
      <c r="B36" s="24">
        <v>205.589</v>
      </c>
      <c r="C36" s="33">
        <v>205.589</v>
      </c>
      <c r="E36">
        <v>113.561</v>
      </c>
      <c r="F36">
        <v>152.488</v>
      </c>
    </row>
    <row r="37" customFormat="1" spans="1:8">
      <c r="A37" s="3" t="s">
        <v>228</v>
      </c>
      <c r="B37" s="24">
        <v>205.589</v>
      </c>
      <c r="C37" s="33">
        <v>205.589</v>
      </c>
      <c r="E37">
        <v>113.561</v>
      </c>
      <c r="F37">
        <v>152.488</v>
      </c>
    </row>
    <row r="38" customFormat="1" spans="1:8">
      <c r="A38" s="3" t="s">
        <v>229</v>
      </c>
      <c r="B38" s="24">
        <v>205.589</v>
      </c>
      <c r="C38" s="33">
        <v>205.589</v>
      </c>
      <c r="E38">
        <v>113.561</v>
      </c>
      <c r="F38">
        <v>152.488</v>
      </c>
    </row>
    <row r="39" customFormat="1" spans="1:8">
      <c r="A39" s="3" t="s">
        <v>230</v>
      </c>
      <c r="B39" s="24">
        <v>205.589</v>
      </c>
      <c r="C39" s="24">
        <v>205.589</v>
      </c>
      <c r="E39">
        <v>113.561</v>
      </c>
      <c r="F39">
        <v>152.488</v>
      </c>
    </row>
    <row r="40" customFormat="1" spans="1:8">
      <c r="A40" s="3" t="s">
        <v>231</v>
      </c>
      <c r="B40" s="24">
        <v>205.589</v>
      </c>
      <c r="C40" s="33">
        <v>205.589</v>
      </c>
      <c r="E40">
        <v>113.561</v>
      </c>
      <c r="F40">
        <v>152.488</v>
      </c>
    </row>
    <row r="41" customFormat="1" spans="1:8">
      <c r="A41" s="3" t="s">
        <v>232</v>
      </c>
      <c r="B41" s="24">
        <v>205.589</v>
      </c>
      <c r="C41" s="33">
        <v>205.589</v>
      </c>
      <c r="E41">
        <v>113.561</v>
      </c>
      <c r="F41">
        <v>152.488</v>
      </c>
    </row>
    <row r="42" customFormat="1" spans="1:8">
      <c r="A42" s="3" t="s">
        <v>233</v>
      </c>
      <c r="B42" s="24">
        <v>205.589</v>
      </c>
      <c r="C42" s="24">
        <v>205.589</v>
      </c>
      <c r="E42">
        <v>113.561</v>
      </c>
      <c r="F42">
        <v>152.488</v>
      </c>
    </row>
    <row r="43" customFormat="1" spans="1:8">
      <c r="A43" s="3" t="s">
        <v>234</v>
      </c>
      <c r="B43" s="24">
        <v>205.589</v>
      </c>
      <c r="C43" s="33">
        <v>205.589</v>
      </c>
      <c r="E43">
        <v>113.561</v>
      </c>
      <c r="F43">
        <v>152.488</v>
      </c>
    </row>
    <row r="44" customFormat="1" spans="1:8">
      <c r="A44" s="3" t="s">
        <v>235</v>
      </c>
      <c r="B44" s="24">
        <v>205.589</v>
      </c>
      <c r="C44" s="33">
        <v>205.589</v>
      </c>
      <c r="E44">
        <v>113.561</v>
      </c>
      <c r="F44">
        <v>152.488</v>
      </c>
    </row>
    <row r="45" s="25" customFormat="1" spans="1:8">
      <c r="A45" s="25" t="s">
        <v>222</v>
      </c>
      <c r="B45" s="3">
        <f>AVERAGE(B33:B44)</f>
        <v>205.329583333333</v>
      </c>
      <c r="C45" s="25">
        <f>AVERAGE(C33:C44)</f>
        <v>205.522916666667</v>
      </c>
      <c r="D45" s="25" t="e">
        <f>AVERAGE(D33:D44)</f>
        <v>#DIV/0!</v>
      </c>
      <c r="E45" s="25">
        <f>AVERAGE(E33:E44)</f>
        <v>113.561</v>
      </c>
      <c r="F45" s="25">
        <f>AVERAGE(F33:F44)</f>
        <v>152.488</v>
      </c>
    </row>
    <row r="46" s="3" customFormat="1" spans="1:8">
      <c r="G46"/>
      <c r="H46" s="26"/>
    </row>
    <row r="47" customFormat="1" spans="1:8">
      <c r="A47" s="3" t="s">
        <v>236</v>
      </c>
      <c r="B47" s="33">
        <v>224.7779</v>
      </c>
      <c r="C47" s="37">
        <v>227.4779</v>
      </c>
      <c r="D47"/>
      <c r="E47">
        <v>136.745</v>
      </c>
      <c r="F47" s="33">
        <v>175.1241</v>
      </c>
    </row>
    <row r="48" customFormat="1" spans="1:8">
      <c r="A48" s="3" t="s">
        <v>237</v>
      </c>
      <c r="B48" s="37">
        <v>227.4779</v>
      </c>
      <c r="C48" s="37">
        <v>227.4779</v>
      </c>
      <c r="E48">
        <v>136.745</v>
      </c>
      <c r="F48" s="33">
        <v>175.1241</v>
      </c>
      <c r="G48" s="33"/>
    </row>
    <row r="49" customFormat="1" spans="1:7">
      <c r="A49" s="3" t="s">
        <v>238</v>
      </c>
      <c r="B49" s="37">
        <v>227.4779</v>
      </c>
      <c r="C49" s="37">
        <v>227.4779</v>
      </c>
      <c r="E49">
        <v>136.745</v>
      </c>
      <c r="F49" s="33">
        <v>175.1241</v>
      </c>
      <c r="G49" s="33"/>
    </row>
    <row r="50" customFormat="1" spans="1:7">
      <c r="A50" s="3" t="s">
        <v>239</v>
      </c>
      <c r="B50" s="37">
        <v>227.4779</v>
      </c>
      <c r="C50" s="37">
        <v>227.4779</v>
      </c>
      <c r="E50">
        <v>136.745</v>
      </c>
      <c r="F50" s="33">
        <v>175.1241</v>
      </c>
    </row>
    <row r="51" customFormat="1" spans="1:7">
      <c r="A51" s="3" t="s">
        <v>240</v>
      </c>
      <c r="B51" s="37">
        <v>227.4779</v>
      </c>
      <c r="C51" s="37">
        <v>227.4779</v>
      </c>
      <c r="E51">
        <v>136.745</v>
      </c>
      <c r="F51" s="33">
        <v>175.1241</v>
      </c>
    </row>
    <row r="52" customFormat="1" spans="1:7">
      <c r="A52" s="3" t="s">
        <v>241</v>
      </c>
      <c r="B52" s="37">
        <v>227.4779</v>
      </c>
      <c r="C52" s="37">
        <v>227.4779</v>
      </c>
      <c r="E52">
        <v>136.745</v>
      </c>
      <c r="F52" s="33">
        <v>175.1241</v>
      </c>
    </row>
    <row r="53" customFormat="1" spans="1:7">
      <c r="A53" s="3" t="s">
        <v>242</v>
      </c>
      <c r="B53" s="37">
        <v>227.4779</v>
      </c>
      <c r="C53" s="37">
        <v>227.4779</v>
      </c>
      <c r="E53">
        <v>136.745</v>
      </c>
      <c r="F53" s="33">
        <v>175.1241</v>
      </c>
    </row>
    <row r="54" customFormat="1" spans="1:7">
      <c r="A54" s="3" t="s">
        <v>243</v>
      </c>
      <c r="B54" s="37">
        <v>227.4779</v>
      </c>
      <c r="C54" s="37">
        <v>227.4779</v>
      </c>
      <c r="E54">
        <v>136.745</v>
      </c>
      <c r="F54" s="33">
        <v>175.1241</v>
      </c>
    </row>
    <row r="55" customFormat="1" ht="13" customHeight="1" spans="1:7">
      <c r="A55" s="3" t="s">
        <v>244</v>
      </c>
      <c r="B55" s="37">
        <v>227.4779</v>
      </c>
      <c r="C55" s="37">
        <v>227.4779</v>
      </c>
      <c r="E55">
        <v>136.745</v>
      </c>
      <c r="F55" s="33">
        <v>175.1241</v>
      </c>
    </row>
    <row r="56" customFormat="1" spans="1:7">
      <c r="A56" s="3" t="s">
        <v>245</v>
      </c>
      <c r="B56" s="37">
        <v>227.4779</v>
      </c>
      <c r="C56" s="37">
        <v>227.4779</v>
      </c>
      <c r="D56"/>
      <c r="E56">
        <v>136.745</v>
      </c>
      <c r="F56" s="33">
        <v>175.1241</v>
      </c>
    </row>
    <row r="57" customFormat="1" spans="1:7">
      <c r="A57" s="3" t="s">
        <v>246</v>
      </c>
      <c r="B57" s="37">
        <v>227.4779</v>
      </c>
      <c r="C57" s="37">
        <v>227.4779</v>
      </c>
      <c r="D57"/>
      <c r="E57">
        <v>136.745</v>
      </c>
      <c r="F57" s="33">
        <v>175.1241</v>
      </c>
    </row>
    <row r="58" customFormat="1" spans="1:7">
      <c r="A58" s="3" t="s">
        <v>247</v>
      </c>
      <c r="B58" s="37">
        <v>227.4779</v>
      </c>
      <c r="C58" s="37">
        <v>227.4779</v>
      </c>
      <c r="D58"/>
      <c r="E58">
        <v>136.745</v>
      </c>
      <c r="F58" s="33">
        <v>175.1241</v>
      </c>
    </row>
    <row r="59" s="25" customFormat="1" spans="1:7">
      <c r="A59" s="25" t="s">
        <v>222</v>
      </c>
      <c r="B59" s="25">
        <f>AVERAGE(B47:B58)</f>
        <v>227.2529</v>
      </c>
      <c r="C59" s="25">
        <f>AVERAGE(C47:C58)</f>
        <v>227.4779</v>
      </c>
      <c r="E59" s="25">
        <f>AVERAGE(E47:E58)</f>
        <v>136.745</v>
      </c>
      <c r="F59" s="25">
        <f>AVERAGE(F47:F58)</f>
        <v>175.1241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9"/>
  <sheetViews>
    <sheetView topLeftCell="A31" workbookViewId="0">
      <selection activeCell="A47" sqref="A47:A59"/>
    </sheetView>
  </sheetViews>
  <sheetFormatPr defaultColWidth="8.72727272727273" defaultRowHeight="14"/>
  <cols>
    <col min="1" max="1" width="21.5454545454545" customWidth="1"/>
    <col min="2" max="2" width="19.5454545454545" customWidth="1"/>
    <col min="3" max="4" width="12.8181818181818"/>
    <col min="5" max="5" width="26.8181818181818" customWidth="1"/>
    <col min="6" max="6" width="12.8181818181818"/>
    <col min="7" max="7" width="12.8181818181818" style="10"/>
    <col min="8" max="8" width="8.72727272727273" style="10"/>
    <col min="9" max="9" width="12.8181818181818" style="10"/>
    <col min="10" max="11" width="12.8181818181818"/>
    <col min="12" max="12" width="15.8181818181818" customWidth="1"/>
    <col min="13" max="15" width="12.8181818181818"/>
    <col min="17" max="19" width="12.8181818181818"/>
  </cols>
  <sheetData>
    <row r="1" s="3" customFormat="1" spans="1:9">
      <c r="A1" s="3" t="s">
        <v>0</v>
      </c>
      <c r="B1" s="3" t="s">
        <v>248</v>
      </c>
      <c r="E1" s="3" t="s">
        <v>249</v>
      </c>
      <c r="G1" s="10"/>
      <c r="H1" s="10"/>
      <c r="I1" s="10"/>
    </row>
    <row r="2" s="3" customFormat="1" spans="1:9">
      <c r="C2" t="s">
        <v>250</v>
      </c>
      <c r="E2" t="s">
        <v>251</v>
      </c>
      <c r="F2" s="26" t="s">
        <v>250</v>
      </c>
      <c r="G2" s="10"/>
      <c r="H2" s="10"/>
      <c r="I2" s="10"/>
    </row>
    <row r="3" s="10" customFormat="1" spans="1:9">
      <c r="A3" s="27" t="s">
        <v>252</v>
      </c>
      <c r="B3" s="28">
        <v>64.5377</v>
      </c>
      <c r="C3" s="28">
        <v>1.2</v>
      </c>
      <c r="E3" s="10">
        <v>63.632</v>
      </c>
      <c r="F3" s="14">
        <v>19.5</v>
      </c>
      <c r="G3" s="13"/>
      <c r="H3" s="14"/>
      <c r="I3" s="14"/>
    </row>
    <row r="4" s="10" customFormat="1" spans="1:9">
      <c r="A4" s="27" t="s">
        <v>253</v>
      </c>
      <c r="B4" s="28">
        <v>68.6394</v>
      </c>
      <c r="C4" s="28">
        <v>1.2</v>
      </c>
      <c r="E4" s="28">
        <v>68.021</v>
      </c>
      <c r="F4" s="14">
        <v>19.5</v>
      </c>
      <c r="G4" s="13"/>
      <c r="H4" s="14"/>
      <c r="I4" s="14"/>
    </row>
    <row r="5" s="10" customFormat="1" spans="1:9">
      <c r="A5" s="27" t="s">
        <v>254</v>
      </c>
      <c r="B5" s="28">
        <v>68.6394</v>
      </c>
      <c r="C5" s="28">
        <v>1.2</v>
      </c>
      <c r="E5" s="28">
        <v>68.021</v>
      </c>
      <c r="F5" s="14">
        <v>19.5</v>
      </c>
      <c r="G5" s="13"/>
      <c r="H5" s="14"/>
      <c r="I5" s="14"/>
    </row>
    <row r="6" s="10" customFormat="1" spans="1:9">
      <c r="A6" s="27" t="s">
        <v>255</v>
      </c>
      <c r="B6" s="28">
        <v>68.078</v>
      </c>
      <c r="C6" s="28">
        <v>1.2</v>
      </c>
      <c r="E6" s="28">
        <v>67.526</v>
      </c>
      <c r="F6" s="14">
        <v>19.5</v>
      </c>
      <c r="G6" s="13"/>
      <c r="H6" s="14"/>
      <c r="I6" s="14"/>
    </row>
    <row r="7" s="10" customFormat="1" spans="1:9">
      <c r="A7" s="27" t="s">
        <v>256</v>
      </c>
      <c r="B7" s="28">
        <v>69.3892</v>
      </c>
      <c r="C7" s="28">
        <v>1.2</v>
      </c>
      <c r="E7" s="29">
        <v>68.8375</v>
      </c>
      <c r="F7" s="14">
        <v>19.5</v>
      </c>
      <c r="G7" s="13"/>
      <c r="H7" s="14"/>
      <c r="I7" s="14"/>
    </row>
    <row r="8" s="10" customFormat="1" spans="1:9">
      <c r="A8" s="27" t="s">
        <v>257</v>
      </c>
      <c r="B8" s="28">
        <v>69.3892</v>
      </c>
      <c r="C8" s="28">
        <v>1.2</v>
      </c>
      <c r="E8" s="29">
        <v>68.8375</v>
      </c>
      <c r="F8" s="14">
        <v>19.5</v>
      </c>
      <c r="G8" s="13"/>
      <c r="H8" s="14"/>
      <c r="I8" s="14"/>
    </row>
    <row r="9" s="10" customFormat="1" spans="1:9">
      <c r="A9" s="27" t="s">
        <v>258</v>
      </c>
      <c r="B9" s="28">
        <v>68.078</v>
      </c>
      <c r="C9" s="28">
        <v>1.2</v>
      </c>
      <c r="E9" s="28">
        <v>67.5262</v>
      </c>
      <c r="F9" s="14">
        <v>19.5</v>
      </c>
      <c r="G9" s="13"/>
      <c r="H9" s="14"/>
      <c r="I9" s="14"/>
    </row>
    <row r="10" s="10" customFormat="1" spans="1:9">
      <c r="A10" s="27" t="s">
        <v>259</v>
      </c>
      <c r="B10" s="28">
        <v>69.3892</v>
      </c>
      <c r="C10" s="28">
        <v>1.2</v>
      </c>
      <c r="E10" s="29">
        <v>68.8375</v>
      </c>
      <c r="F10" s="14">
        <v>19.5</v>
      </c>
      <c r="G10" s="13"/>
      <c r="H10" s="14"/>
      <c r="I10" s="14"/>
    </row>
    <row r="11" s="10" customFormat="1" spans="1:9">
      <c r="A11" s="27" t="s">
        <v>260</v>
      </c>
      <c r="B11" s="28">
        <v>69.3892</v>
      </c>
      <c r="C11" s="28">
        <v>1.2</v>
      </c>
      <c r="E11" s="29">
        <v>68.8375</v>
      </c>
      <c r="F11" s="14">
        <v>19.5</v>
      </c>
      <c r="G11" s="13"/>
      <c r="H11" s="14"/>
      <c r="I11" s="14"/>
    </row>
    <row r="12" s="10" customFormat="1" spans="1:9">
      <c r="A12" s="27" t="s">
        <v>261</v>
      </c>
      <c r="B12" s="28">
        <v>68.078</v>
      </c>
      <c r="C12" s="28">
        <v>1.2</v>
      </c>
      <c r="E12" s="28">
        <v>67.5262</v>
      </c>
      <c r="F12" s="14">
        <v>19.5</v>
      </c>
      <c r="G12" s="13"/>
      <c r="H12" s="14"/>
      <c r="I12" s="14"/>
    </row>
    <row r="13" s="10" customFormat="1" spans="1:9">
      <c r="A13" s="27" t="s">
        <v>262</v>
      </c>
      <c r="B13" s="28">
        <v>69.3892</v>
      </c>
      <c r="C13" s="28">
        <v>1.2</v>
      </c>
      <c r="E13" s="28">
        <v>68.8375</v>
      </c>
      <c r="F13" s="14">
        <v>19.5</v>
      </c>
      <c r="G13" s="13"/>
      <c r="H13" s="14"/>
      <c r="I13" s="14"/>
    </row>
    <row r="14" s="10" customFormat="1" spans="1:9">
      <c r="A14" s="27" t="s">
        <v>263</v>
      </c>
      <c r="B14" s="28">
        <v>69.3892</v>
      </c>
      <c r="C14" s="28">
        <v>1.2</v>
      </c>
      <c r="E14" s="29">
        <v>68.8375</v>
      </c>
      <c r="F14" s="14">
        <v>19.5</v>
      </c>
      <c r="G14" s="13"/>
      <c r="H14" s="14"/>
      <c r="I14" s="14"/>
    </row>
    <row r="15" s="10" customFormat="1" spans="1:9">
      <c r="A15" s="10" t="s">
        <v>23</v>
      </c>
      <c r="B15" s="10">
        <f t="shared" ref="B15:F15" si="0">AVERAGE(B3:B14)</f>
        <v>68.5321416666666</v>
      </c>
      <c r="C15" s="10">
        <f t="shared" si="0"/>
        <v>1.2</v>
      </c>
      <c r="E15" s="10">
        <f t="shared" si="0"/>
        <v>67.9397833333333</v>
      </c>
      <c r="F15" s="10">
        <f t="shared" si="0"/>
        <v>19.5</v>
      </c>
      <c r="G15" s="14"/>
      <c r="H15" s="30"/>
      <c r="I15" s="30"/>
    </row>
    <row r="16" s="10" customFormat="1" spans="1:9">
      <c r="C16" s="10" t="s">
        <v>250</v>
      </c>
      <c r="E16" s="10" t="s">
        <v>251</v>
      </c>
      <c r="F16" s="31" t="s">
        <v>250</v>
      </c>
    </row>
    <row r="17" s="10" customFormat="1" spans="1:8">
      <c r="A17" s="27" t="s">
        <v>264</v>
      </c>
      <c r="B17" s="14">
        <v>71.0201</v>
      </c>
      <c r="C17" s="10">
        <v>0</v>
      </c>
      <c r="E17" s="14">
        <v>64.765</v>
      </c>
      <c r="F17" s="32">
        <v>18.1</v>
      </c>
    </row>
    <row r="18" s="10" customFormat="1" spans="1:8">
      <c r="A18" s="27" t="s">
        <v>265</v>
      </c>
      <c r="B18" s="14">
        <v>73.2154</v>
      </c>
      <c r="C18" s="10">
        <v>0</v>
      </c>
      <c r="E18" s="14">
        <v>68.021</v>
      </c>
      <c r="F18" s="14">
        <v>19.5</v>
      </c>
    </row>
    <row r="19" s="10" customFormat="1" spans="1:8">
      <c r="A19" s="27" t="s">
        <v>266</v>
      </c>
      <c r="B19" s="14">
        <v>73.2154</v>
      </c>
      <c r="C19" s="10">
        <v>0</v>
      </c>
      <c r="E19" s="14">
        <v>68.021</v>
      </c>
      <c r="F19" s="14">
        <v>19.5</v>
      </c>
    </row>
    <row r="20" s="10" customFormat="1" spans="1:8">
      <c r="A20" s="27" t="s">
        <v>267</v>
      </c>
      <c r="B20" s="14">
        <v>72.4408</v>
      </c>
      <c r="C20" s="10">
        <v>0</v>
      </c>
      <c r="E20" s="14">
        <v>67.526</v>
      </c>
      <c r="F20" s="14">
        <v>19.5</v>
      </c>
    </row>
    <row r="21" s="10" customFormat="1" spans="1:8">
      <c r="A21" s="27" t="s">
        <v>268</v>
      </c>
      <c r="B21" s="14">
        <v>73.6666</v>
      </c>
      <c r="C21" s="10">
        <v>0</v>
      </c>
      <c r="E21" s="14">
        <v>68.837</v>
      </c>
      <c r="F21" s="14">
        <v>19.5</v>
      </c>
    </row>
    <row r="22" s="10" customFormat="1" spans="1:8">
      <c r="A22" s="27" t="s">
        <v>269</v>
      </c>
      <c r="B22" s="14">
        <v>73.6666</v>
      </c>
      <c r="C22" s="10">
        <v>0</v>
      </c>
      <c r="E22" s="14">
        <v>68.837</v>
      </c>
      <c r="F22" s="14">
        <v>19.5</v>
      </c>
    </row>
    <row r="23" s="10" customFormat="1" spans="1:8">
      <c r="A23" s="27" t="s">
        <v>270</v>
      </c>
      <c r="B23" s="14">
        <v>72.4408</v>
      </c>
      <c r="C23" s="10">
        <v>0</v>
      </c>
      <c r="E23" s="14">
        <v>67.526</v>
      </c>
      <c r="F23" s="14">
        <v>19.5</v>
      </c>
    </row>
    <row r="24" s="10" customFormat="1" spans="1:8">
      <c r="A24" s="27" t="s">
        <v>271</v>
      </c>
      <c r="B24" s="14">
        <v>73.6666</v>
      </c>
      <c r="C24" s="10">
        <v>0</v>
      </c>
      <c r="E24" s="14">
        <v>68.837</v>
      </c>
      <c r="F24" s="14">
        <v>19.5</v>
      </c>
    </row>
    <row r="25" s="10" customFormat="1" spans="1:8">
      <c r="A25" s="27" t="s">
        <v>272</v>
      </c>
      <c r="B25" s="14">
        <v>73.6666</v>
      </c>
      <c r="C25" s="10">
        <v>0</v>
      </c>
      <c r="E25" s="14">
        <v>68.837</v>
      </c>
      <c r="F25" s="14">
        <v>19.5</v>
      </c>
    </row>
    <row r="26" s="10" customFormat="1" spans="1:8">
      <c r="A26" s="27" t="s">
        <v>273</v>
      </c>
      <c r="B26" s="14">
        <v>72.4408</v>
      </c>
      <c r="C26" s="10">
        <v>0</v>
      </c>
      <c r="E26" s="14">
        <v>67.526</v>
      </c>
      <c r="F26" s="14">
        <v>19.5</v>
      </c>
    </row>
    <row r="27" s="10" customFormat="1" spans="1:8">
      <c r="A27" s="27" t="s">
        <v>274</v>
      </c>
      <c r="B27" s="14">
        <v>73.6666</v>
      </c>
      <c r="C27" s="10">
        <v>0</v>
      </c>
      <c r="E27" s="14">
        <v>68.837</v>
      </c>
      <c r="F27" s="14">
        <v>19.5</v>
      </c>
    </row>
    <row r="28" s="10" customFormat="1" spans="1:8">
      <c r="A28" s="27" t="s">
        <v>275</v>
      </c>
      <c r="B28" s="14">
        <v>73.6666</v>
      </c>
      <c r="C28" s="10">
        <v>0</v>
      </c>
      <c r="E28" s="14">
        <v>68.837</v>
      </c>
      <c r="F28" s="14">
        <v>19.5</v>
      </c>
    </row>
    <row r="29" s="10" customFormat="1" spans="1:8">
      <c r="A29" s="10" t="s">
        <v>23</v>
      </c>
      <c r="B29" s="30">
        <f t="shared" ref="B29:F29" si="1">AVERAGE(B17:B28)</f>
        <v>73.0644083333333</v>
      </c>
      <c r="E29" s="30">
        <f t="shared" si="1"/>
        <v>68.0339166666667</v>
      </c>
      <c r="F29" s="30">
        <f t="shared" si="1"/>
        <v>19.3833333333333</v>
      </c>
    </row>
    <row r="30" s="10" customFormat="1" spans="1:8">
      <c r="C30" s="10" t="s">
        <v>250</v>
      </c>
      <c r="D30" s="10"/>
      <c r="E30" s="10" t="s">
        <v>251</v>
      </c>
      <c r="F30" s="31" t="s">
        <v>250</v>
      </c>
    </row>
    <row r="31" s="3" customFormat="1" spans="1:8">
      <c r="A31" s="3" t="s">
        <v>224</v>
      </c>
      <c r="B31" s="24">
        <v>202.67</v>
      </c>
      <c r="C31" s="3">
        <v>1.14090909090909</v>
      </c>
      <c r="D31" s="3"/>
      <c r="E31">
        <v>193.72</v>
      </c>
      <c r="F31">
        <v>36.05</v>
      </c>
      <c r="G31" s="10"/>
      <c r="H31" s="10"/>
    </row>
    <row r="32" s="3" customFormat="1" spans="1:8">
      <c r="A32" s="3" t="s">
        <v>225</v>
      </c>
      <c r="B32" s="24">
        <v>205.408</v>
      </c>
      <c r="C32" s="3">
        <v>1.14090909090909</v>
      </c>
      <c r="D32" s="3"/>
      <c r="E32" s="33">
        <v>194.12</v>
      </c>
      <c r="F32">
        <v>36.05</v>
      </c>
      <c r="G32" s="10"/>
      <c r="H32" s="10"/>
    </row>
    <row r="33" s="3" customFormat="1" spans="1:13">
      <c r="A33" s="3" t="s">
        <v>226</v>
      </c>
      <c r="B33" s="24">
        <v>205.576</v>
      </c>
      <c r="C33" s="3">
        <v>1.14090909090909</v>
      </c>
      <c r="D33" s="3"/>
      <c r="E33" s="33">
        <v>194.6</v>
      </c>
      <c r="F33">
        <v>36.05</v>
      </c>
      <c r="G33" s="10"/>
      <c r="H33" s="10"/>
    </row>
    <row r="34" s="3" customFormat="1" spans="1:13">
      <c r="A34" s="3" t="s">
        <v>227</v>
      </c>
      <c r="B34" s="24">
        <v>205.589</v>
      </c>
      <c r="C34" s="3">
        <v>1.14090909090909</v>
      </c>
      <c r="D34" s="3"/>
      <c r="E34">
        <v>196.25</v>
      </c>
      <c r="F34">
        <v>36.05</v>
      </c>
      <c r="G34" s="10"/>
      <c r="H34" s="10"/>
    </row>
    <row r="35" s="3" customFormat="1" spans="1:13">
      <c r="A35" s="3" t="s">
        <v>228</v>
      </c>
      <c r="B35" s="24">
        <v>205.589</v>
      </c>
      <c r="C35" s="3">
        <v>1.051</v>
      </c>
      <c r="D35" s="3"/>
      <c r="E35">
        <v>196.25</v>
      </c>
      <c r="F35">
        <v>36.05</v>
      </c>
      <c r="G35" s="10"/>
      <c r="H35" s="10"/>
    </row>
    <row r="36" s="3" customFormat="1" spans="1:13">
      <c r="A36" s="3" t="s">
        <v>229</v>
      </c>
      <c r="B36" s="24">
        <v>205.589</v>
      </c>
      <c r="C36" s="3">
        <v>1.14090909090909</v>
      </c>
      <c r="D36" s="3"/>
      <c r="E36">
        <v>196.25</v>
      </c>
      <c r="F36">
        <v>36.05</v>
      </c>
      <c r="G36" s="10"/>
      <c r="H36" s="10"/>
    </row>
    <row r="37" s="3" customFormat="1" spans="1:13">
      <c r="A37" s="3" t="s">
        <v>230</v>
      </c>
      <c r="B37" s="24">
        <v>205.589</v>
      </c>
      <c r="C37" s="3">
        <v>1.14090909090909</v>
      </c>
      <c r="D37" s="3"/>
      <c r="E37">
        <v>196.25</v>
      </c>
      <c r="F37">
        <v>36.05</v>
      </c>
      <c r="G37" s="10"/>
      <c r="H37" s="10"/>
    </row>
    <row r="38" s="3" customFormat="1" spans="1:13">
      <c r="A38" s="3" t="s">
        <v>231</v>
      </c>
      <c r="B38" s="24">
        <v>205.589</v>
      </c>
      <c r="C38" s="3">
        <v>1.14090909090909</v>
      </c>
      <c r="D38" s="3"/>
      <c r="E38">
        <v>196.25</v>
      </c>
      <c r="F38">
        <v>36.05</v>
      </c>
      <c r="G38" s="10"/>
      <c r="H38" s="10"/>
    </row>
    <row r="39" s="3" customFormat="1" spans="1:13">
      <c r="A39" s="3" t="s">
        <v>232</v>
      </c>
      <c r="B39" s="24">
        <v>205.589</v>
      </c>
      <c r="C39" s="3">
        <v>1.14090909090909</v>
      </c>
      <c r="D39" s="3"/>
      <c r="E39">
        <v>196.25</v>
      </c>
      <c r="F39">
        <v>36.05</v>
      </c>
      <c r="G39" s="10"/>
      <c r="H39" s="10"/>
    </row>
    <row r="40" s="3" customFormat="1" spans="1:13">
      <c r="A40" s="3" t="s">
        <v>233</v>
      </c>
      <c r="B40" s="24">
        <v>205.589</v>
      </c>
      <c r="C40" s="3">
        <v>1.14090909090909</v>
      </c>
      <c r="D40" s="3"/>
      <c r="E40">
        <v>196.25</v>
      </c>
      <c r="F40">
        <v>36.05</v>
      </c>
      <c r="G40" s="10"/>
      <c r="H40" s="10"/>
    </row>
    <row r="41" s="3" customFormat="1" spans="1:13">
      <c r="A41" s="3" t="s">
        <v>234</v>
      </c>
      <c r="B41" s="24">
        <v>205.589</v>
      </c>
      <c r="C41" s="3">
        <v>1.14090909090909</v>
      </c>
      <c r="D41" s="3"/>
      <c r="E41">
        <v>196.25</v>
      </c>
      <c r="F41">
        <v>36.05</v>
      </c>
      <c r="G41" s="10"/>
      <c r="H41" s="10"/>
    </row>
    <row r="42" s="3" customFormat="1" spans="1:13">
      <c r="A42" s="3" t="s">
        <v>235</v>
      </c>
      <c r="B42" s="24">
        <v>205.589</v>
      </c>
      <c r="C42" s="3">
        <v>1.14090909090909</v>
      </c>
      <c r="D42" s="3"/>
      <c r="E42">
        <v>196.25</v>
      </c>
      <c r="F42">
        <v>36.05</v>
      </c>
      <c r="G42" s="10"/>
      <c r="H42" s="10"/>
    </row>
    <row r="43" s="3" customFormat="1" spans="1:13">
      <c r="A43" s="25" t="s">
        <v>222</v>
      </c>
      <c r="B43" s="3">
        <f t="shared" ref="B43:F43" si="2">AVERAGE(B31:B42)</f>
        <v>205.329583333333</v>
      </c>
      <c r="C43" s="3">
        <f t="shared" si="2"/>
        <v>1.13341666666667</v>
      </c>
      <c r="E43" s="25">
        <f t="shared" si="2"/>
        <v>195.724166666667</v>
      </c>
      <c r="F43" s="25">
        <f t="shared" si="2"/>
        <v>36.05</v>
      </c>
      <c r="G43" s="10"/>
      <c r="H43" s="10"/>
    </row>
    <row r="44" spans="1:13">
      <c r="B44" s="3"/>
    </row>
    <row r="46" customFormat="1" spans="1:13">
      <c r="B46" s="3"/>
      <c r="C46" t="s">
        <v>250</v>
      </c>
      <c r="D46"/>
      <c r="E46" t="s">
        <v>251</v>
      </c>
      <c r="F46" s="26" t="s">
        <v>250</v>
      </c>
      <c r="G46" s="10"/>
      <c r="H46" s="10"/>
      <c r="I46" s="10"/>
    </row>
    <row r="47" spans="1:13">
      <c r="A47" s="3" t="s">
        <v>236</v>
      </c>
      <c r="B47" s="24">
        <v>224.7779</v>
      </c>
      <c r="C47" s="3">
        <v>0</v>
      </c>
      <c r="D47" s="3"/>
      <c r="E47">
        <v>194.51</v>
      </c>
      <c r="F47">
        <v>35.35</v>
      </c>
      <c r="G47" s="10"/>
      <c r="H47" s="10"/>
      <c r="I47" s="10"/>
      <c r="M47" s="1"/>
    </row>
    <row r="48" s="3" customFormat="1" spans="1:13">
      <c r="A48" s="3" t="s">
        <v>237</v>
      </c>
      <c r="B48" s="24">
        <v>227.4779</v>
      </c>
      <c r="C48" s="3">
        <v>0</v>
      </c>
      <c r="D48" s="3"/>
      <c r="E48" s="33">
        <v>195.8</v>
      </c>
      <c r="F48">
        <v>36.05</v>
      </c>
      <c r="G48" s="10"/>
      <c r="H48" s="10"/>
      <c r="I48" s="10"/>
      <c r="M48" s="1"/>
    </row>
    <row r="49" s="1" customFormat="1" spans="1:13">
      <c r="A49" s="1" t="s">
        <v>238</v>
      </c>
      <c r="B49" s="24">
        <v>227.4779</v>
      </c>
      <c r="C49" s="3">
        <v>0</v>
      </c>
      <c r="D49" s="3"/>
      <c r="E49" s="33">
        <v>196.07</v>
      </c>
      <c r="F49">
        <v>36.05</v>
      </c>
      <c r="G49" s="10"/>
      <c r="H49" s="10"/>
      <c r="I49" s="10"/>
      <c r="K49" s="3"/>
      <c r="L49" s="3"/>
    </row>
    <row r="50" s="3" customFormat="1" spans="1:13">
      <c r="A50" s="3" t="s">
        <v>239</v>
      </c>
      <c r="B50" s="24">
        <v>227.4779</v>
      </c>
      <c r="C50" s="3">
        <v>0</v>
      </c>
      <c r="D50" s="3"/>
      <c r="E50">
        <v>196.09</v>
      </c>
      <c r="F50">
        <v>36.05</v>
      </c>
      <c r="G50" s="10"/>
      <c r="H50" s="10"/>
      <c r="I50" s="10"/>
      <c r="K50" s="1"/>
      <c r="L50" s="3"/>
      <c r="M50" s="1"/>
    </row>
    <row r="51" s="1" customFormat="1" spans="1:13">
      <c r="A51" s="1" t="s">
        <v>240</v>
      </c>
      <c r="B51" s="24">
        <v>227.4779</v>
      </c>
      <c r="C51" s="3">
        <v>0</v>
      </c>
      <c r="D51" s="3"/>
      <c r="E51">
        <v>196.25</v>
      </c>
      <c r="F51">
        <v>36.05</v>
      </c>
      <c r="G51" s="10"/>
      <c r="H51" s="10"/>
      <c r="I51" s="10"/>
      <c r="L51" s="3"/>
    </row>
    <row r="52" s="1" customFormat="1" spans="1:13">
      <c r="A52" s="1" t="s">
        <v>241</v>
      </c>
      <c r="B52" s="24">
        <v>227.4779</v>
      </c>
      <c r="C52" s="3">
        <v>0</v>
      </c>
      <c r="D52" s="3"/>
      <c r="E52">
        <v>196.25</v>
      </c>
      <c r="F52">
        <v>36.05</v>
      </c>
      <c r="G52" s="10"/>
      <c r="H52" s="10"/>
      <c r="I52" s="10"/>
      <c r="L52" s="3"/>
    </row>
    <row r="53" s="1" customFormat="1" spans="1:13">
      <c r="A53" s="1" t="s">
        <v>242</v>
      </c>
      <c r="B53" s="24">
        <v>227.4779</v>
      </c>
      <c r="C53" s="3">
        <v>0</v>
      </c>
      <c r="D53" s="3"/>
      <c r="E53">
        <v>196.25</v>
      </c>
      <c r="F53">
        <v>36.05</v>
      </c>
      <c r="G53" s="10"/>
      <c r="H53" s="10"/>
      <c r="I53" s="10"/>
      <c r="L53" s="3"/>
    </row>
    <row r="54" s="1" customFormat="1" spans="1:13">
      <c r="A54" s="1" t="s">
        <v>243</v>
      </c>
      <c r="B54" s="24">
        <v>227.4779</v>
      </c>
      <c r="C54" s="3">
        <v>0</v>
      </c>
      <c r="D54" s="3"/>
      <c r="E54">
        <v>196.25</v>
      </c>
      <c r="F54">
        <v>36.05</v>
      </c>
      <c r="G54" s="10"/>
      <c r="H54" s="10"/>
      <c r="I54" s="10"/>
      <c r="L54" s="3"/>
    </row>
    <row r="55" s="1" customFormat="1" spans="1:13">
      <c r="A55" s="1" t="s">
        <v>244</v>
      </c>
      <c r="B55" s="24">
        <v>227.4779</v>
      </c>
      <c r="C55" s="3">
        <v>0</v>
      </c>
      <c r="D55" s="3"/>
      <c r="E55">
        <v>196.25</v>
      </c>
      <c r="F55">
        <v>36.05</v>
      </c>
      <c r="G55" s="10"/>
      <c r="H55" s="10"/>
      <c r="I55" s="10"/>
      <c r="L55" s="3"/>
    </row>
    <row r="56" s="1" customFormat="1" spans="1:13">
      <c r="A56" s="1" t="s">
        <v>245</v>
      </c>
      <c r="B56" s="24">
        <v>227.4779</v>
      </c>
      <c r="C56" s="3">
        <v>0</v>
      </c>
      <c r="D56" s="3"/>
      <c r="E56">
        <v>196.25</v>
      </c>
      <c r="F56">
        <v>36.05</v>
      </c>
      <c r="G56" s="10"/>
      <c r="H56" s="10"/>
      <c r="I56" s="10"/>
      <c r="L56" s="3"/>
    </row>
    <row r="57" s="3" customFormat="1" spans="1:13">
      <c r="A57" s="3" t="s">
        <v>246</v>
      </c>
      <c r="B57" s="24">
        <v>227.4779</v>
      </c>
      <c r="C57" s="3">
        <v>0</v>
      </c>
      <c r="D57" s="3"/>
      <c r="E57">
        <v>196.25</v>
      </c>
      <c r="F57">
        <v>36.05</v>
      </c>
      <c r="G57" s="10"/>
      <c r="H57" s="10"/>
      <c r="I57" s="10"/>
      <c r="K57" s="1"/>
      <c r="L57" s="3"/>
      <c r="M57" s="1"/>
    </row>
    <row r="58" s="1" customFormat="1" spans="1:13">
      <c r="A58" s="1" t="s">
        <v>247</v>
      </c>
      <c r="B58" s="24">
        <v>227.4779</v>
      </c>
      <c r="C58" s="3">
        <v>0</v>
      </c>
      <c r="D58" s="3"/>
      <c r="E58">
        <v>196.25</v>
      </c>
      <c r="F58">
        <v>36.05</v>
      </c>
      <c r="G58" s="10"/>
      <c r="H58" s="10"/>
      <c r="I58" s="10"/>
      <c r="L58" s="3"/>
    </row>
    <row r="59" spans="1:13">
      <c r="A59" s="25" t="s">
        <v>222</v>
      </c>
      <c r="B59" s="25">
        <f t="shared" ref="B59:F59" si="3">AVERAGE(B47:B58)</f>
        <v>227.2529</v>
      </c>
      <c r="C59" s="25">
        <f t="shared" si="3"/>
        <v>0</v>
      </c>
      <c r="D59" s="25"/>
      <c r="E59" s="25">
        <f t="shared" si="3"/>
        <v>196.039166666667</v>
      </c>
      <c r="F59" s="25">
        <f t="shared" si="3"/>
        <v>35.9916666666667</v>
      </c>
      <c r="G59" s="34"/>
      <c r="H59" s="34"/>
      <c r="I59" s="34"/>
      <c r="J59" s="25"/>
      <c r="K59" s="25"/>
      <c r="L59" s="25"/>
      <c r="M59" s="25"/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2"/>
  <sheetViews>
    <sheetView topLeftCell="A7" workbookViewId="0">
      <selection activeCell="H37" sqref="H37"/>
    </sheetView>
  </sheetViews>
  <sheetFormatPr defaultColWidth="8.72727272727273" defaultRowHeight="14"/>
  <cols>
    <col min="1" max="1" width="21.5454545454545" customWidth="1"/>
    <col min="2" max="2" width="19.5454545454545" customWidth="1"/>
    <col min="3" max="4" width="12.8181818181818"/>
    <col min="5" max="5" width="17.6363636363636" customWidth="1"/>
    <col min="7" max="7" width="12.8181818181818"/>
    <col min="9" max="10" width="12.8181818181818"/>
    <col min="11" max="11" width="11.7272727272727"/>
    <col min="12" max="12" width="15.8181818181818" customWidth="1"/>
    <col min="13" max="15" width="12.8181818181818"/>
    <col min="17" max="19" width="12.8181818181818"/>
  </cols>
  <sheetData>
    <row r="1" s="3" customFormat="1" spans="1:14">
      <c r="A1" s="3" t="s">
        <v>0</v>
      </c>
      <c r="B1" s="3" t="s">
        <v>1</v>
      </c>
    </row>
    <row r="2" s="3" customFormat="1" spans="1:14">
      <c r="C2" s="3" t="s">
        <v>276</v>
      </c>
      <c r="D2" s="3" t="s">
        <v>250</v>
      </c>
      <c r="E2" s="3" t="s">
        <v>277</v>
      </c>
      <c r="G2" s="3" t="s">
        <v>278</v>
      </c>
      <c r="I2" s="3" t="s">
        <v>250</v>
      </c>
      <c r="J2" s="3" t="s">
        <v>277</v>
      </c>
      <c r="L2" s="3" t="s">
        <v>279</v>
      </c>
      <c r="M2" s="3" t="s">
        <v>277</v>
      </c>
      <c r="N2" s="3" t="s">
        <v>250</v>
      </c>
    </row>
    <row r="3" s="3" customFormat="1" spans="1:14">
      <c r="A3" s="3" t="s">
        <v>224</v>
      </c>
      <c r="C3" s="24">
        <v>202.67</v>
      </c>
      <c r="D3" s="3">
        <v>1.14090909090909</v>
      </c>
      <c r="E3" s="3">
        <v>15.161</v>
      </c>
      <c r="G3" s="3">
        <v>228.56</v>
      </c>
      <c r="I3" s="3">
        <v>0</v>
      </c>
      <c r="J3" s="3">
        <v>15.22</v>
      </c>
      <c r="L3" s="3">
        <v>166.2487</v>
      </c>
      <c r="M3" s="3">
        <v>15.287</v>
      </c>
      <c r="N3" s="3">
        <v>2.77954545454545</v>
      </c>
    </row>
    <row r="4" s="3" customFormat="1" spans="1:14">
      <c r="A4" s="3" t="s">
        <v>225</v>
      </c>
      <c r="C4" s="24">
        <v>205.408</v>
      </c>
      <c r="D4" s="3">
        <v>1.14090909090909</v>
      </c>
      <c r="E4" s="3">
        <v>15.516</v>
      </c>
      <c r="F4" s="3"/>
      <c r="G4" s="3">
        <v>232.3012</v>
      </c>
      <c r="H4" s="3"/>
      <c r="I4" s="3">
        <v>0</v>
      </c>
      <c r="J4" s="3">
        <v>15.515</v>
      </c>
      <c r="K4" s="3"/>
      <c r="L4" s="3">
        <v>168.7568</v>
      </c>
      <c r="M4" s="3">
        <v>15.539</v>
      </c>
      <c r="N4" s="3">
        <v>2.77954545454545</v>
      </c>
    </row>
    <row r="5" s="3" customFormat="1" spans="1:14">
      <c r="A5" s="3" t="s">
        <v>226</v>
      </c>
      <c r="C5" s="24">
        <v>205.576</v>
      </c>
      <c r="D5" s="3">
        <v>1.14090909090909</v>
      </c>
      <c r="E5" s="3">
        <v>15.515</v>
      </c>
      <c r="G5" s="3">
        <v>232.3012</v>
      </c>
      <c r="I5" s="3">
        <v>0</v>
      </c>
      <c r="J5" s="3">
        <v>15.515</v>
      </c>
      <c r="L5" s="3">
        <v>169.0903</v>
      </c>
      <c r="M5" s="3">
        <v>15.441</v>
      </c>
      <c r="N5" s="3">
        <v>2.77954545454545</v>
      </c>
    </row>
    <row r="6" s="3" customFormat="1" spans="1:14">
      <c r="A6" s="3" t="s">
        <v>227</v>
      </c>
      <c r="C6" s="24">
        <v>205.589</v>
      </c>
      <c r="D6" s="3">
        <v>1.14090909090909</v>
      </c>
      <c r="E6" s="3">
        <v>15.553</v>
      </c>
      <c r="G6" s="3">
        <v>232.3012</v>
      </c>
      <c r="I6" s="3">
        <v>0</v>
      </c>
      <c r="J6" s="3">
        <v>15.516</v>
      </c>
      <c r="L6" s="3">
        <v>169.539</v>
      </c>
      <c r="M6" s="3">
        <v>15.516</v>
      </c>
      <c r="N6" s="3">
        <v>2.77954545454545</v>
      </c>
    </row>
    <row r="7" s="3" customFormat="1" spans="1:14">
      <c r="A7" s="3" t="s">
        <v>228</v>
      </c>
      <c r="C7" s="24">
        <v>205.589</v>
      </c>
      <c r="D7" s="3">
        <v>1.051</v>
      </c>
      <c r="E7" s="3">
        <v>15.517</v>
      </c>
      <c r="F7" s="3"/>
      <c r="G7" s="3">
        <v>232.3012</v>
      </c>
      <c r="H7" s="3"/>
      <c r="I7" s="3">
        <v>0</v>
      </c>
      <c r="J7" s="3">
        <v>15.519</v>
      </c>
      <c r="K7" s="3"/>
      <c r="L7" s="3">
        <v>169.539</v>
      </c>
      <c r="M7" s="3">
        <v>15.516</v>
      </c>
      <c r="N7" s="3">
        <v>2.77954545454545</v>
      </c>
    </row>
    <row r="8" s="3" customFormat="1" spans="1:14">
      <c r="A8" s="3" t="s">
        <v>229</v>
      </c>
      <c r="C8" s="24">
        <v>205.589</v>
      </c>
      <c r="D8" s="3">
        <v>1.14090909090909</v>
      </c>
      <c r="E8" s="3">
        <v>15.52</v>
      </c>
      <c r="G8" s="3">
        <v>232.3012</v>
      </c>
      <c r="I8" s="3">
        <v>0</v>
      </c>
      <c r="J8" s="3">
        <v>15.519</v>
      </c>
      <c r="L8" s="3">
        <v>169.539</v>
      </c>
      <c r="M8" s="3">
        <v>15.516</v>
      </c>
      <c r="N8" s="3">
        <v>2.77954545454545</v>
      </c>
    </row>
    <row r="9" s="3" customFormat="1" spans="1:14">
      <c r="A9" s="3" t="s">
        <v>230</v>
      </c>
      <c r="C9" s="24">
        <v>205.589</v>
      </c>
      <c r="D9" s="3">
        <v>1.14090909090909</v>
      </c>
      <c r="E9" s="3">
        <v>15.52</v>
      </c>
      <c r="G9" s="3">
        <v>232.3012</v>
      </c>
      <c r="I9" s="3">
        <v>0</v>
      </c>
      <c r="J9" s="3">
        <v>15.516</v>
      </c>
      <c r="L9" s="3">
        <v>169.539</v>
      </c>
      <c r="M9" s="3">
        <v>15.526</v>
      </c>
      <c r="N9" s="3">
        <v>2.77954545454545</v>
      </c>
    </row>
    <row r="10" s="3" customFormat="1" spans="1:14">
      <c r="A10" s="3" t="s">
        <v>231</v>
      </c>
      <c r="C10" s="24">
        <v>205.589</v>
      </c>
      <c r="D10" s="3">
        <v>1.14090909090909</v>
      </c>
      <c r="E10" s="3">
        <v>15.52</v>
      </c>
      <c r="G10" s="3">
        <v>232.3012</v>
      </c>
      <c r="I10" s="3">
        <v>0</v>
      </c>
      <c r="J10" s="3">
        <v>15.516</v>
      </c>
      <c r="L10" s="3">
        <v>169.539</v>
      </c>
      <c r="M10" s="3">
        <v>15.54</v>
      </c>
      <c r="N10" s="3">
        <v>2.77954545454545</v>
      </c>
    </row>
    <row r="11" s="3" customFormat="1" spans="1:14">
      <c r="A11" s="3" t="s">
        <v>232</v>
      </c>
      <c r="C11" s="24">
        <v>205.589</v>
      </c>
      <c r="D11" s="3">
        <v>1.14090909090909</v>
      </c>
      <c r="E11" s="3">
        <v>15.52</v>
      </c>
      <c r="G11" s="3">
        <v>232.3012</v>
      </c>
      <c r="I11" s="3">
        <v>0</v>
      </c>
      <c r="J11" s="3">
        <v>15.516</v>
      </c>
      <c r="L11" s="3">
        <v>169.539</v>
      </c>
      <c r="M11" s="3">
        <v>15.54</v>
      </c>
      <c r="N11" s="3">
        <v>2.77954545454545</v>
      </c>
    </row>
    <row r="12" s="3" customFormat="1" spans="1:14">
      <c r="A12" s="3" t="s">
        <v>233</v>
      </c>
      <c r="C12" s="24">
        <v>205.589</v>
      </c>
      <c r="D12" s="3">
        <v>1.14090909090909</v>
      </c>
      <c r="E12" s="3">
        <v>15.515</v>
      </c>
      <c r="G12" s="3">
        <v>232.3012</v>
      </c>
      <c r="I12" s="3">
        <v>0</v>
      </c>
      <c r="J12" s="3">
        <v>15.516</v>
      </c>
      <c r="L12" s="3">
        <v>169.539</v>
      </c>
      <c r="M12" s="3">
        <v>15.54</v>
      </c>
      <c r="N12" s="3">
        <v>2.77954545454545</v>
      </c>
    </row>
    <row r="13" s="3" customFormat="1" spans="1:14">
      <c r="A13" s="3" t="s">
        <v>234</v>
      </c>
      <c r="C13" s="24">
        <v>205.589</v>
      </c>
      <c r="D13" s="3">
        <v>1.14090909090909</v>
      </c>
      <c r="E13" s="3">
        <v>15.516</v>
      </c>
      <c r="G13" s="3">
        <v>232.3012</v>
      </c>
      <c r="I13" s="3">
        <v>0</v>
      </c>
      <c r="J13" s="3">
        <v>15.541</v>
      </c>
      <c r="L13" s="3">
        <v>169.539</v>
      </c>
      <c r="M13" s="3">
        <v>15.54</v>
      </c>
      <c r="N13" s="3">
        <v>2.77954545454545</v>
      </c>
    </row>
    <row r="14" s="3" customFormat="1" spans="1:14">
      <c r="A14" s="3" t="s">
        <v>235</v>
      </c>
      <c r="C14" s="24">
        <v>205.589</v>
      </c>
      <c r="D14" s="3">
        <v>1.14090909090909</v>
      </c>
      <c r="E14" s="3">
        <v>15.557</v>
      </c>
      <c r="G14" s="3">
        <v>232.3012</v>
      </c>
      <c r="I14" s="3">
        <v>0</v>
      </c>
      <c r="J14" s="3">
        <v>15.541</v>
      </c>
      <c r="L14" s="3">
        <v>169.539</v>
      </c>
      <c r="M14" s="3">
        <v>15.54</v>
      </c>
      <c r="N14" s="3">
        <v>2.77954545454545</v>
      </c>
    </row>
    <row r="15" s="3" customFormat="1" spans="1:14">
      <c r="A15" s="25" t="s">
        <v>222</v>
      </c>
      <c r="C15" s="3">
        <f>AVERAGE(C3:C14)</f>
        <v>205.329583333333</v>
      </c>
      <c r="D15" s="3">
        <f t="shared" ref="D15:N15" si="0">AVERAGE(D3:D14)</f>
        <v>1.13341666666667</v>
      </c>
      <c r="E15" s="3">
        <f t="shared" si="0"/>
        <v>15.4941666666667</v>
      </c>
      <c r="G15" s="3">
        <f t="shared" si="0"/>
        <v>231.989433333333</v>
      </c>
      <c r="I15" s="3">
        <f t="shared" si="0"/>
        <v>0</v>
      </c>
      <c r="J15" s="3">
        <f t="shared" si="0"/>
        <v>15.4958333333333</v>
      </c>
      <c r="L15" s="3">
        <f t="shared" si="0"/>
        <v>169.162233333333</v>
      </c>
      <c r="M15" s="3">
        <f t="shared" si="0"/>
        <v>15.5034166666667</v>
      </c>
      <c r="N15" s="3">
        <f t="shared" si="0"/>
        <v>2.77954545454545</v>
      </c>
    </row>
    <row r="19" customFormat="1" spans="1:13">
      <c r="C19" s="3" t="s">
        <v>276</v>
      </c>
      <c r="D19" t="s">
        <v>250</v>
      </c>
      <c r="E19" t="s">
        <v>277</v>
      </c>
      <c r="G19" s="3" t="s">
        <v>278</v>
      </c>
      <c r="H19" t="s">
        <v>250</v>
      </c>
      <c r="I19" t="s">
        <v>277</v>
      </c>
      <c r="K19" t="s">
        <v>279</v>
      </c>
      <c r="L19" t="s">
        <v>277</v>
      </c>
      <c r="M19" t="s">
        <v>250</v>
      </c>
    </row>
    <row r="20" spans="1:13">
      <c r="A20" s="3" t="s">
        <v>236</v>
      </c>
      <c r="B20" s="24"/>
      <c r="C20" s="24">
        <v>224.7779</v>
      </c>
      <c r="D20" s="3">
        <v>0</v>
      </c>
      <c r="E20" s="3">
        <v>9.2875</v>
      </c>
      <c r="G20">
        <v>227.9612</v>
      </c>
      <c r="H20">
        <v>0</v>
      </c>
      <c r="I20">
        <v>9.0753</v>
      </c>
      <c r="K20">
        <v>201.394</v>
      </c>
      <c r="L20">
        <v>9.2967</v>
      </c>
      <c r="M20" s="1">
        <v>1.14090909090909</v>
      </c>
    </row>
    <row r="21" s="3" customFormat="1" spans="1:13">
      <c r="A21" s="3" t="s">
        <v>237</v>
      </c>
      <c r="B21" s="24"/>
      <c r="C21" s="24">
        <v>227.4779</v>
      </c>
      <c r="D21" s="3">
        <v>0</v>
      </c>
      <c r="E21" s="3">
        <v>9.3096</v>
      </c>
      <c r="G21" s="3">
        <v>231.787</v>
      </c>
      <c r="H21" s="3">
        <v>0</v>
      </c>
      <c r="I21" s="3">
        <v>9.29</v>
      </c>
      <c r="K21" s="3">
        <v>203.9923</v>
      </c>
      <c r="L21" s="3">
        <v>9.3079</v>
      </c>
      <c r="M21" s="1">
        <v>1.14090909090909</v>
      </c>
    </row>
    <row r="22" s="1" customFormat="1" spans="1:13">
      <c r="A22" s="1" t="s">
        <v>238</v>
      </c>
      <c r="B22" s="24"/>
      <c r="C22" s="24">
        <v>227.4779</v>
      </c>
      <c r="D22" s="3">
        <v>0</v>
      </c>
      <c r="E22" s="3">
        <v>9.3096</v>
      </c>
      <c r="G22" s="3">
        <v>232.3012</v>
      </c>
      <c r="H22" s="3">
        <v>0</v>
      </c>
      <c r="I22" s="3">
        <v>9.3094</v>
      </c>
      <c r="K22" s="3">
        <v>203.9923</v>
      </c>
      <c r="L22" s="3">
        <v>9.3093</v>
      </c>
      <c r="M22" s="1">
        <v>1.14090909090909</v>
      </c>
    </row>
    <row r="23" s="3" customFormat="1" spans="1:13">
      <c r="A23" s="3" t="s">
        <v>239</v>
      </c>
      <c r="B23" s="24"/>
      <c r="C23" s="24">
        <v>227.4779</v>
      </c>
      <c r="D23" s="3">
        <v>0</v>
      </c>
      <c r="E23" s="3">
        <v>9.3348</v>
      </c>
      <c r="G23" s="3">
        <v>232.3012</v>
      </c>
      <c r="H23" s="3">
        <v>0</v>
      </c>
      <c r="I23" s="3">
        <v>9.3106</v>
      </c>
      <c r="K23" s="1">
        <v>203.9923</v>
      </c>
      <c r="L23" s="3">
        <v>9.3093</v>
      </c>
      <c r="M23" s="1">
        <v>1.14090909090909</v>
      </c>
    </row>
    <row r="24" s="1" customFormat="1" spans="1:13">
      <c r="A24" s="1" t="s">
        <v>240</v>
      </c>
      <c r="B24" s="24"/>
      <c r="C24" s="24">
        <v>227.4779</v>
      </c>
      <c r="D24" s="3">
        <v>0</v>
      </c>
      <c r="E24" s="3">
        <v>9.3097</v>
      </c>
      <c r="G24" s="3">
        <v>232.3012</v>
      </c>
      <c r="H24" s="3">
        <v>0</v>
      </c>
      <c r="I24" s="3">
        <v>9.3106</v>
      </c>
      <c r="K24" s="1">
        <v>203.9923</v>
      </c>
      <c r="L24" s="3">
        <v>9.3093</v>
      </c>
      <c r="M24" s="1">
        <v>1.14090909090909</v>
      </c>
    </row>
    <row r="25" s="1" customFormat="1" spans="1:13">
      <c r="A25" s="1" t="s">
        <v>241</v>
      </c>
      <c r="B25" s="24"/>
      <c r="C25" s="24">
        <v>227.4779</v>
      </c>
      <c r="D25" s="3">
        <v>0</v>
      </c>
      <c r="E25" s="3">
        <v>9.3254</v>
      </c>
      <c r="G25" s="3">
        <v>232.3012</v>
      </c>
      <c r="H25" s="3">
        <v>0</v>
      </c>
      <c r="I25" s="3">
        <v>9.3106</v>
      </c>
      <c r="K25" s="1">
        <v>203.9923</v>
      </c>
      <c r="L25" s="3">
        <v>9.3093</v>
      </c>
      <c r="M25" s="1">
        <v>1.14090909090909</v>
      </c>
    </row>
    <row r="26" s="1" customFormat="1" spans="1:13">
      <c r="A26" s="1" t="s">
        <v>242</v>
      </c>
      <c r="B26" s="24"/>
      <c r="C26" s="24">
        <v>227.4779</v>
      </c>
      <c r="D26" s="3">
        <v>0</v>
      </c>
      <c r="E26" s="3">
        <v>9.3096</v>
      </c>
      <c r="G26" s="3">
        <v>232.3012</v>
      </c>
      <c r="H26" s="3">
        <v>0</v>
      </c>
      <c r="I26" s="3">
        <v>9.3106</v>
      </c>
      <c r="K26" s="1">
        <v>203.9923</v>
      </c>
      <c r="L26" s="3">
        <v>9.3093</v>
      </c>
      <c r="M26" s="1">
        <v>1.14090909090909</v>
      </c>
    </row>
    <row r="27" s="1" customFormat="1" spans="1:13">
      <c r="A27" s="1" t="s">
        <v>243</v>
      </c>
      <c r="B27" s="24"/>
      <c r="C27" s="24">
        <v>227.4779</v>
      </c>
      <c r="D27" s="3">
        <v>0</v>
      </c>
      <c r="E27" s="3">
        <v>9.3241</v>
      </c>
      <c r="G27" s="3">
        <v>232.3012</v>
      </c>
      <c r="H27" s="3">
        <v>0</v>
      </c>
      <c r="I27" s="3">
        <v>9.3106</v>
      </c>
      <c r="K27" s="1">
        <v>203.9923</v>
      </c>
      <c r="L27" s="3">
        <v>9.3093</v>
      </c>
      <c r="M27" s="1">
        <v>1.14090909090909</v>
      </c>
    </row>
    <row r="28" s="1" customFormat="1" spans="1:13">
      <c r="A28" s="1" t="s">
        <v>244</v>
      </c>
      <c r="B28" s="24"/>
      <c r="C28" s="24">
        <v>227.4779</v>
      </c>
      <c r="D28" s="3">
        <v>0</v>
      </c>
      <c r="E28" s="3">
        <v>9.3097</v>
      </c>
      <c r="G28" s="3">
        <v>232.3012</v>
      </c>
      <c r="H28" s="3">
        <v>0</v>
      </c>
      <c r="I28" s="3">
        <v>9.311</v>
      </c>
      <c r="K28" s="1">
        <v>203.9923</v>
      </c>
      <c r="L28" s="3">
        <v>9.3093</v>
      </c>
      <c r="M28" s="1">
        <v>1.14090909090909</v>
      </c>
    </row>
    <row r="29" s="1" customFormat="1" spans="1:13">
      <c r="A29" s="1" t="s">
        <v>245</v>
      </c>
      <c r="B29" s="24"/>
      <c r="C29" s="24">
        <v>227.4779</v>
      </c>
      <c r="D29" s="3">
        <v>0</v>
      </c>
      <c r="E29" s="3">
        <v>9.3109</v>
      </c>
      <c r="G29" s="3">
        <v>232.3012</v>
      </c>
      <c r="H29" s="3">
        <v>0</v>
      </c>
      <c r="I29" s="3">
        <v>9.311</v>
      </c>
      <c r="K29" s="1">
        <v>203.9923</v>
      </c>
      <c r="L29" s="3">
        <v>9.3239</v>
      </c>
      <c r="M29" s="1">
        <v>1.14090909090909</v>
      </c>
    </row>
    <row r="30" s="3" customFormat="1" spans="1:13">
      <c r="A30" s="3" t="s">
        <v>246</v>
      </c>
      <c r="B30" s="24"/>
      <c r="C30" s="24">
        <v>227.4779</v>
      </c>
      <c r="D30" s="3">
        <v>0</v>
      </c>
      <c r="E30" s="3">
        <v>9.3126</v>
      </c>
      <c r="G30" s="3">
        <v>232.3012</v>
      </c>
      <c r="H30" s="3">
        <v>0</v>
      </c>
      <c r="I30" s="3">
        <v>9.311</v>
      </c>
      <c r="K30" s="1">
        <v>203.9923</v>
      </c>
      <c r="L30" s="3">
        <v>9.3093</v>
      </c>
      <c r="M30" s="1">
        <v>1.14090909090909</v>
      </c>
    </row>
    <row r="31" s="1" customFormat="1" spans="1:13">
      <c r="A31" s="1" t="s">
        <v>247</v>
      </c>
      <c r="B31" s="24"/>
      <c r="C31" s="24">
        <v>227.4779</v>
      </c>
      <c r="D31" s="3">
        <v>0</v>
      </c>
      <c r="E31" s="3">
        <v>9.3101</v>
      </c>
      <c r="G31" s="3">
        <v>232.3012</v>
      </c>
      <c r="H31" s="3">
        <v>0</v>
      </c>
      <c r="I31" s="3">
        <v>9.311</v>
      </c>
      <c r="K31" s="1">
        <v>203.9923</v>
      </c>
      <c r="L31" s="3">
        <v>9.3093</v>
      </c>
      <c r="M31" s="1">
        <v>1.14090909090909</v>
      </c>
    </row>
    <row r="32" spans="1:13">
      <c r="A32" s="25" t="s">
        <v>222</v>
      </c>
      <c r="B32" s="25"/>
      <c r="C32" s="25">
        <f>AVERAGE(C20:C31)</f>
        <v>227.2529</v>
      </c>
      <c r="D32" s="25">
        <f t="shared" ref="D32:M32" si="1">AVERAGE(D20:D31)</f>
        <v>0</v>
      </c>
      <c r="E32" s="25">
        <f t="shared" si="1"/>
        <v>9.3128</v>
      </c>
      <c r="F32" s="25"/>
      <c r="G32" s="25">
        <f t="shared" si="1"/>
        <v>231.896683333333</v>
      </c>
      <c r="H32" s="25">
        <f t="shared" si="1"/>
        <v>0</v>
      </c>
      <c r="I32" s="25">
        <f t="shared" si="1"/>
        <v>9.28930833333334</v>
      </c>
      <c r="J32" s="25"/>
      <c r="K32" s="25">
        <f t="shared" si="1"/>
        <v>203.775775</v>
      </c>
      <c r="L32" s="25">
        <f t="shared" si="1"/>
        <v>9.30935</v>
      </c>
      <c r="M32" s="25">
        <f t="shared" si="1"/>
        <v>1.14090909090909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6"/>
  <sheetViews>
    <sheetView topLeftCell="A31" workbookViewId="0">
      <selection activeCell="J57" sqref="J57"/>
    </sheetView>
  </sheetViews>
  <sheetFormatPr defaultColWidth="8.72727272727273" defaultRowHeight="14"/>
  <cols>
    <col min="1" max="1" width="17.2727272727273" customWidth="1"/>
    <col min="9" max="9" width="18" customWidth="1"/>
    <col min="10" max="10" width="26.4545454545455" customWidth="1"/>
    <col min="11" max="11" width="26.1818181818182" customWidth="1"/>
  </cols>
  <sheetData>
    <row r="1" spans="1:11">
      <c r="A1" t="s">
        <v>0</v>
      </c>
      <c r="B1" s="3" t="s">
        <v>8</v>
      </c>
      <c r="C1" s="3" t="s">
        <v>9</v>
      </c>
      <c r="D1" s="3" t="s">
        <v>10</v>
      </c>
      <c r="E1" s="3" t="s">
        <v>280</v>
      </c>
      <c r="I1" t="s">
        <v>0</v>
      </c>
      <c r="J1" s="3" t="s">
        <v>8</v>
      </c>
      <c r="K1" s="3" t="s">
        <v>9</v>
      </c>
    </row>
    <row r="2" s="2" customFormat="1" spans="1:11">
      <c r="A2" s="2" t="s">
        <v>60</v>
      </c>
      <c r="B2" s="12">
        <v>62.6755</v>
      </c>
      <c r="C2" s="12">
        <v>62.6755</v>
      </c>
      <c r="D2" s="18">
        <f t="shared" ref="D2:D13" si="0">(C2-B2)/C2</f>
        <v>0</v>
      </c>
      <c r="E2" s="19">
        <v>9.33</v>
      </c>
      <c r="I2" s="20" t="s">
        <v>252</v>
      </c>
      <c r="J2" s="21">
        <v>64.5377</v>
      </c>
      <c r="K2" s="21">
        <v>64.5377</v>
      </c>
    </row>
    <row r="3" s="2" customFormat="1" spans="1:11">
      <c r="A3" s="2" t="s">
        <v>61</v>
      </c>
      <c r="B3" s="12">
        <v>64.145</v>
      </c>
      <c r="C3" s="12">
        <v>64.145</v>
      </c>
      <c r="D3" s="18">
        <f t="shared" si="0"/>
        <v>0</v>
      </c>
      <c r="E3" s="19">
        <v>1.93</v>
      </c>
      <c r="I3" s="20" t="s">
        <v>253</v>
      </c>
      <c r="J3" s="21">
        <v>68.6394</v>
      </c>
      <c r="K3" s="21">
        <v>68.6394</v>
      </c>
    </row>
    <row r="4" s="2" customFormat="1" spans="1:11">
      <c r="A4" s="2" t="s">
        <v>62</v>
      </c>
      <c r="B4" s="12">
        <v>64.145</v>
      </c>
      <c r="C4" s="12">
        <v>64.145</v>
      </c>
      <c r="D4" s="18">
        <f t="shared" si="0"/>
        <v>0</v>
      </c>
      <c r="E4" s="19">
        <v>0.91</v>
      </c>
      <c r="I4" s="20" t="s">
        <v>254</v>
      </c>
      <c r="J4" s="21">
        <v>68.6394</v>
      </c>
      <c r="K4" s="21">
        <v>68.6394</v>
      </c>
    </row>
    <row r="5" s="2" customFormat="1" spans="1:11">
      <c r="A5" s="2" t="s">
        <v>63</v>
      </c>
      <c r="B5" s="12">
        <v>63.5085</v>
      </c>
      <c r="C5" s="12">
        <v>63.5085</v>
      </c>
      <c r="D5" s="18">
        <f t="shared" si="0"/>
        <v>0</v>
      </c>
      <c r="E5" s="19">
        <v>9.59</v>
      </c>
      <c r="I5" s="20" t="s">
        <v>255</v>
      </c>
      <c r="J5" s="21">
        <v>68.078</v>
      </c>
      <c r="K5" s="21">
        <v>68.078</v>
      </c>
    </row>
    <row r="6" s="2" customFormat="1" spans="1:11">
      <c r="A6" s="2" t="s">
        <v>64</v>
      </c>
      <c r="B6" s="12">
        <v>64.3342</v>
      </c>
      <c r="C6" s="12">
        <v>64.3342</v>
      </c>
      <c r="D6" s="18">
        <f t="shared" si="0"/>
        <v>0</v>
      </c>
      <c r="E6" s="19">
        <v>1.23</v>
      </c>
      <c r="I6" s="20" t="s">
        <v>256</v>
      </c>
      <c r="J6" s="21">
        <v>69.3892</v>
      </c>
      <c r="K6" s="21">
        <v>69.3892</v>
      </c>
    </row>
    <row r="7" s="2" customFormat="1" spans="1:11">
      <c r="A7" s="2" t="s">
        <v>65</v>
      </c>
      <c r="B7" s="12">
        <v>64.3342</v>
      </c>
      <c r="C7" s="12">
        <v>64.3342</v>
      </c>
      <c r="D7" s="18">
        <f t="shared" si="0"/>
        <v>0</v>
      </c>
      <c r="E7" s="19">
        <v>4.59</v>
      </c>
      <c r="I7" s="20" t="s">
        <v>257</v>
      </c>
      <c r="J7" s="21">
        <v>69.3892</v>
      </c>
      <c r="K7" s="21">
        <v>69.3892</v>
      </c>
    </row>
    <row r="8" s="2" customFormat="1" spans="1:11">
      <c r="A8" s="2" t="s">
        <v>66</v>
      </c>
      <c r="B8" s="12">
        <v>63.5085</v>
      </c>
      <c r="C8" s="12">
        <v>63.5085</v>
      </c>
      <c r="D8" s="18">
        <f t="shared" si="0"/>
        <v>0</v>
      </c>
      <c r="E8" s="19">
        <v>7.83</v>
      </c>
      <c r="I8" s="20" t="s">
        <v>258</v>
      </c>
      <c r="J8" s="21">
        <v>68.078</v>
      </c>
      <c r="K8" s="21">
        <v>68.078</v>
      </c>
    </row>
    <row r="9" s="2" customFormat="1" spans="1:11">
      <c r="A9" s="2" t="s">
        <v>67</v>
      </c>
      <c r="B9" s="12">
        <v>64.3342</v>
      </c>
      <c r="C9" s="12">
        <v>64.3342</v>
      </c>
      <c r="D9" s="18">
        <f t="shared" si="0"/>
        <v>0</v>
      </c>
      <c r="E9" s="19">
        <v>2.14</v>
      </c>
      <c r="I9" s="20" t="s">
        <v>259</v>
      </c>
      <c r="J9" s="21">
        <v>69.3892</v>
      </c>
      <c r="K9" s="21">
        <v>69.3892</v>
      </c>
    </row>
    <row r="10" s="2" customFormat="1" spans="1:11">
      <c r="A10" s="2" t="s">
        <v>68</v>
      </c>
      <c r="B10" s="12">
        <v>64.3342</v>
      </c>
      <c r="C10" s="12">
        <v>64.3342</v>
      </c>
      <c r="D10" s="18">
        <f t="shared" si="0"/>
        <v>0</v>
      </c>
      <c r="E10" s="19">
        <v>2.42</v>
      </c>
      <c r="I10" s="20" t="s">
        <v>260</v>
      </c>
      <c r="J10" s="21">
        <v>69.3892</v>
      </c>
      <c r="K10" s="21">
        <v>69.3892</v>
      </c>
    </row>
    <row r="11" s="2" customFormat="1" spans="1:11">
      <c r="A11" s="2" t="s">
        <v>69</v>
      </c>
      <c r="B11" s="12">
        <v>63.5085</v>
      </c>
      <c r="C11" s="12">
        <v>63.5085</v>
      </c>
      <c r="D11" s="18">
        <f t="shared" si="0"/>
        <v>0</v>
      </c>
      <c r="E11" s="19">
        <v>24.71</v>
      </c>
      <c r="I11" s="20" t="s">
        <v>261</v>
      </c>
      <c r="J11" s="21">
        <v>68.078</v>
      </c>
      <c r="K11" s="21">
        <v>68.078</v>
      </c>
    </row>
    <row r="12" s="2" customFormat="1" spans="1:11">
      <c r="A12" s="2" t="s">
        <v>70</v>
      </c>
      <c r="B12" s="12">
        <v>64.3342</v>
      </c>
      <c r="C12" s="12">
        <v>64.3342</v>
      </c>
      <c r="D12" s="18">
        <f t="shared" si="0"/>
        <v>0</v>
      </c>
      <c r="E12" s="19">
        <v>3.4</v>
      </c>
      <c r="I12" s="20" t="s">
        <v>262</v>
      </c>
      <c r="J12" s="21">
        <v>69.3892</v>
      </c>
      <c r="K12" s="21">
        <v>69.3892</v>
      </c>
    </row>
    <row r="13" s="2" customFormat="1" spans="1:11">
      <c r="A13" s="2" t="s">
        <v>71</v>
      </c>
      <c r="B13" s="12">
        <v>64.3342</v>
      </c>
      <c r="C13" s="12">
        <v>64.3342</v>
      </c>
      <c r="D13" s="18">
        <f t="shared" si="0"/>
        <v>0</v>
      </c>
      <c r="E13" s="19">
        <v>17.14</v>
      </c>
      <c r="I13" s="20" t="s">
        <v>263</v>
      </c>
      <c r="J13" s="21">
        <v>69.3892</v>
      </c>
      <c r="K13" s="21">
        <v>69.3892</v>
      </c>
    </row>
    <row r="14" s="2" customFormat="1" spans="1:11">
      <c r="A14" s="2" t="s">
        <v>23</v>
      </c>
      <c r="B14" s="16">
        <f>AVERAGE(B2:B13)</f>
        <v>63.9580166666667</v>
      </c>
      <c r="C14" s="16">
        <f>AVERAGE(C2:C13)</f>
        <v>63.9580166666667</v>
      </c>
      <c r="D14" s="16">
        <f>AVERAGE(D2:D13)</f>
        <v>0</v>
      </c>
      <c r="E14" s="16">
        <f>AVERAGE(E2:E13)</f>
        <v>7.10166666666667</v>
      </c>
      <c r="I14" s="3" t="s">
        <v>222</v>
      </c>
      <c r="J14" s="3">
        <f>AVERAGE(J2:J13)</f>
        <v>68.5321416666666</v>
      </c>
      <c r="K14" s="3">
        <f>AVERAGE(K2:K13)</f>
        <v>68.5321416666666</v>
      </c>
    </row>
    <row r="15" s="2" customFormat="1" spans="1:11">
      <c r="B15" s="16"/>
      <c r="C15" s="16"/>
      <c r="D15" s="16"/>
      <c r="E15" s="16"/>
      <c r="I15" s="3"/>
      <c r="J15"/>
      <c r="K15"/>
    </row>
    <row r="16" s="2" customFormat="1" spans="1:11">
      <c r="A16" s="2" t="s">
        <v>72</v>
      </c>
      <c r="B16" s="12">
        <v>64.6985</v>
      </c>
      <c r="C16" s="12">
        <v>64.6985</v>
      </c>
      <c r="D16" s="18">
        <f t="shared" ref="D16:D27" si="1">(C16-B16)/C16</f>
        <v>0</v>
      </c>
      <c r="E16" s="22">
        <v>41.72</v>
      </c>
      <c r="I16" s="2" t="s">
        <v>281</v>
      </c>
      <c r="J16" s="3">
        <v>69.6409</v>
      </c>
      <c r="K16" s="3">
        <v>69.6409</v>
      </c>
    </row>
    <row r="17" s="2" customFormat="1" spans="1:11">
      <c r="A17" s="2" t="s">
        <v>73</v>
      </c>
      <c r="B17" s="12">
        <v>66.1784</v>
      </c>
      <c r="C17" s="12">
        <v>66.1784</v>
      </c>
      <c r="D17" s="18">
        <f t="shared" si="1"/>
        <v>0</v>
      </c>
      <c r="E17" s="22">
        <v>18.85</v>
      </c>
      <c r="I17" s="2" t="s">
        <v>282</v>
      </c>
      <c r="J17" s="3">
        <v>72.5399</v>
      </c>
      <c r="K17" s="3">
        <v>72.5399</v>
      </c>
    </row>
    <row r="18" s="2" customFormat="1" spans="1:11">
      <c r="A18" s="2" t="s">
        <v>74</v>
      </c>
      <c r="B18" s="12">
        <v>66.1784</v>
      </c>
      <c r="C18" s="12">
        <v>66.1784</v>
      </c>
      <c r="D18" s="18">
        <f t="shared" si="1"/>
        <v>0</v>
      </c>
      <c r="E18" s="22">
        <v>7.05</v>
      </c>
      <c r="I18" s="2" t="s">
        <v>283</v>
      </c>
      <c r="J18" s="3">
        <v>72.5399</v>
      </c>
      <c r="K18" s="3">
        <v>72.5399</v>
      </c>
    </row>
    <row r="19" s="2" customFormat="1" spans="1:11">
      <c r="A19" s="2" t="s">
        <v>75</v>
      </c>
      <c r="B19" s="12">
        <v>65.5494</v>
      </c>
      <c r="C19" s="12">
        <v>65.5494</v>
      </c>
      <c r="D19" s="18">
        <f t="shared" si="1"/>
        <v>0</v>
      </c>
      <c r="E19" s="22">
        <v>75.61</v>
      </c>
      <c r="I19" s="2" t="s">
        <v>284</v>
      </c>
      <c r="J19" s="3">
        <v>71.7654</v>
      </c>
      <c r="K19" s="3">
        <v>71.7654</v>
      </c>
    </row>
    <row r="20" s="2" customFormat="1" spans="1:11">
      <c r="A20" s="2" t="s">
        <v>76</v>
      </c>
      <c r="B20" s="12">
        <v>66.3679</v>
      </c>
      <c r="C20" s="12">
        <v>66.3679</v>
      </c>
      <c r="D20" s="18">
        <f t="shared" si="1"/>
        <v>0</v>
      </c>
      <c r="E20" s="22">
        <v>15.01</v>
      </c>
      <c r="I20" s="2" t="s">
        <v>285</v>
      </c>
      <c r="J20" s="3">
        <v>72.991</v>
      </c>
      <c r="K20" s="3">
        <v>72.991</v>
      </c>
    </row>
    <row r="21" s="2" customFormat="1" spans="1:11">
      <c r="A21" s="2" t="s">
        <v>77</v>
      </c>
      <c r="B21" s="12">
        <v>66.3679</v>
      </c>
      <c r="C21" s="12">
        <v>66.3679</v>
      </c>
      <c r="D21" s="18">
        <f t="shared" si="1"/>
        <v>0</v>
      </c>
      <c r="E21" s="22">
        <v>19.43</v>
      </c>
      <c r="I21" s="2" t="s">
        <v>286</v>
      </c>
      <c r="J21" s="3">
        <v>72.991</v>
      </c>
      <c r="K21" s="3">
        <v>72.991</v>
      </c>
    </row>
    <row r="22" s="2" customFormat="1" spans="1:11">
      <c r="A22" s="2" t="s">
        <v>78</v>
      </c>
      <c r="B22" s="12">
        <v>65.5494</v>
      </c>
      <c r="C22" s="12">
        <v>65.5494</v>
      </c>
      <c r="D22" s="18">
        <f t="shared" si="1"/>
        <v>0</v>
      </c>
      <c r="E22" s="22">
        <v>4.01</v>
      </c>
      <c r="I22" s="2" t="s">
        <v>287</v>
      </c>
      <c r="J22" s="3">
        <v>71.7654</v>
      </c>
      <c r="K22" s="3">
        <v>71.7654</v>
      </c>
    </row>
    <row r="23" s="2" customFormat="1" spans="1:11">
      <c r="A23" s="2" t="s">
        <v>79</v>
      </c>
      <c r="B23" s="12">
        <v>66.3679</v>
      </c>
      <c r="C23" s="12">
        <v>66.3679</v>
      </c>
      <c r="D23" s="18">
        <f t="shared" si="1"/>
        <v>0</v>
      </c>
      <c r="E23" s="22">
        <v>2.65</v>
      </c>
      <c r="I23" s="2" t="s">
        <v>288</v>
      </c>
      <c r="J23" s="3">
        <v>72.9911</v>
      </c>
      <c r="K23" s="3">
        <v>72.9911</v>
      </c>
    </row>
    <row r="24" s="2" customFormat="1" spans="1:11">
      <c r="A24" s="2" t="s">
        <v>80</v>
      </c>
      <c r="B24" s="12">
        <v>66.3679</v>
      </c>
      <c r="C24" s="12">
        <v>66.3679</v>
      </c>
      <c r="D24" s="18">
        <f t="shared" si="1"/>
        <v>0</v>
      </c>
      <c r="E24" s="22">
        <v>2.32</v>
      </c>
      <c r="I24" s="2" t="s">
        <v>289</v>
      </c>
      <c r="J24" s="3">
        <v>72.9911</v>
      </c>
      <c r="K24" s="3">
        <v>72.9911</v>
      </c>
    </row>
    <row r="25" s="2" customFormat="1" spans="1:11">
      <c r="A25" s="2" t="s">
        <v>81</v>
      </c>
      <c r="B25" s="12">
        <v>65.5494</v>
      </c>
      <c r="C25" s="12">
        <v>65.5494</v>
      </c>
      <c r="D25" s="18">
        <f t="shared" si="1"/>
        <v>0</v>
      </c>
      <c r="E25" s="22">
        <v>118.38</v>
      </c>
      <c r="I25" s="2" t="s">
        <v>290</v>
      </c>
      <c r="J25" s="3">
        <v>71.7654</v>
      </c>
      <c r="K25" s="3">
        <v>71.7654</v>
      </c>
    </row>
    <row r="26" s="2" customFormat="1" spans="1:11">
      <c r="A26" s="2" t="s">
        <v>82</v>
      </c>
      <c r="B26" s="12">
        <v>66.3679</v>
      </c>
      <c r="C26" s="12">
        <v>66.3679</v>
      </c>
      <c r="D26" s="18">
        <f t="shared" si="1"/>
        <v>0</v>
      </c>
      <c r="E26" s="22">
        <v>3.01</v>
      </c>
      <c r="I26" s="2" t="s">
        <v>291</v>
      </c>
      <c r="J26" s="3">
        <v>72.9911</v>
      </c>
      <c r="K26" s="3">
        <v>72.9911</v>
      </c>
    </row>
    <row r="27" s="2" customFormat="1" spans="1:11">
      <c r="A27" s="2" t="s">
        <v>83</v>
      </c>
      <c r="B27" s="12">
        <v>66.3679</v>
      </c>
      <c r="C27" s="12">
        <v>66.3679</v>
      </c>
      <c r="D27" s="18">
        <f t="shared" si="1"/>
        <v>0</v>
      </c>
      <c r="E27" s="22">
        <v>1.04</v>
      </c>
      <c r="I27" s="2" t="s">
        <v>292</v>
      </c>
      <c r="J27" s="3">
        <v>72.9911</v>
      </c>
      <c r="K27" s="3">
        <v>72.9911</v>
      </c>
    </row>
    <row r="28" s="2" customFormat="1" spans="1:11">
      <c r="A28" s="2" t="s">
        <v>23</v>
      </c>
      <c r="B28" s="12">
        <f>AVERAGE(B16:B27)</f>
        <v>65.992575</v>
      </c>
      <c r="C28" s="12">
        <f>AVERAGE(C16:C27)</f>
        <v>65.992575</v>
      </c>
      <c r="D28" s="12">
        <f>AVERAGE(D16:D27)</f>
        <v>0</v>
      </c>
      <c r="E28" s="12">
        <f>AVERAGE(E16:E27)</f>
        <v>25.7566666666667</v>
      </c>
      <c r="I28" s="3" t="s">
        <v>222</v>
      </c>
      <c r="J28" s="3"/>
      <c r="K28" s="3"/>
    </row>
    <row r="29" spans="1:11">
      <c r="I29" s="2"/>
    </row>
    <row r="30" spans="1:11">
      <c r="A30" s="2" t="s">
        <v>293</v>
      </c>
      <c r="B30">
        <v>64.6985</v>
      </c>
      <c r="C30">
        <v>64.6985</v>
      </c>
      <c r="I30" s="17" t="s">
        <v>264</v>
      </c>
      <c r="J30" s="1">
        <v>71.0201</v>
      </c>
      <c r="K30" s="1">
        <v>71.0201</v>
      </c>
    </row>
    <row r="31" spans="1:11">
      <c r="A31" s="2" t="s">
        <v>294</v>
      </c>
      <c r="B31">
        <v>65.7373</v>
      </c>
      <c r="C31">
        <v>65.7373</v>
      </c>
      <c r="I31" s="17" t="s">
        <v>265</v>
      </c>
      <c r="J31" s="1">
        <v>73.2154</v>
      </c>
      <c r="K31" s="1">
        <v>73.2154</v>
      </c>
    </row>
    <row r="32" spans="1:11">
      <c r="A32" s="2" t="s">
        <v>295</v>
      </c>
      <c r="B32">
        <v>65.7373</v>
      </c>
      <c r="C32">
        <v>65.7373</v>
      </c>
      <c r="I32" s="17" t="s">
        <v>266</v>
      </c>
      <c r="J32" s="1">
        <v>73.2154</v>
      </c>
      <c r="K32" s="1">
        <v>73.2154</v>
      </c>
    </row>
    <row r="33" spans="1:11">
      <c r="A33" s="2" t="s">
        <v>296</v>
      </c>
      <c r="B33">
        <v>65.5494</v>
      </c>
      <c r="C33">
        <v>65.5494</v>
      </c>
      <c r="I33" s="17" t="s">
        <v>267</v>
      </c>
      <c r="J33" s="1">
        <v>72.4408</v>
      </c>
      <c r="K33" s="1">
        <v>72.4408</v>
      </c>
    </row>
    <row r="34" spans="1:11">
      <c r="A34" s="2" t="s">
        <v>297</v>
      </c>
      <c r="B34">
        <v>65.9268</v>
      </c>
      <c r="C34">
        <v>65.9268</v>
      </c>
      <c r="I34" s="17" t="s">
        <v>268</v>
      </c>
      <c r="J34" s="1">
        <v>73.6666</v>
      </c>
      <c r="K34" s="1">
        <v>73.6666</v>
      </c>
    </row>
    <row r="35" spans="1:11">
      <c r="A35" s="2" t="s">
        <v>298</v>
      </c>
      <c r="B35">
        <v>65.9268</v>
      </c>
      <c r="C35">
        <v>65.9268</v>
      </c>
      <c r="I35" s="17" t="s">
        <v>269</v>
      </c>
      <c r="J35" s="1">
        <v>73.6666</v>
      </c>
      <c r="K35" s="1">
        <v>73.6666</v>
      </c>
    </row>
    <row r="36" spans="1:11">
      <c r="A36" s="2" t="s">
        <v>299</v>
      </c>
      <c r="B36">
        <v>65.5494</v>
      </c>
      <c r="C36">
        <v>65.5494</v>
      </c>
      <c r="I36" s="17" t="s">
        <v>300</v>
      </c>
      <c r="J36" s="1">
        <v>72.4408</v>
      </c>
      <c r="K36" s="1">
        <v>72.4408</v>
      </c>
    </row>
    <row r="37" spans="1:11">
      <c r="A37" s="2" t="s">
        <v>301</v>
      </c>
      <c r="B37">
        <v>65.9268</v>
      </c>
      <c r="C37">
        <v>65.9268</v>
      </c>
      <c r="I37" s="17" t="s">
        <v>302</v>
      </c>
      <c r="J37" s="1">
        <v>73.6666</v>
      </c>
      <c r="K37" s="1">
        <v>73.6666</v>
      </c>
    </row>
    <row r="38" spans="1:11">
      <c r="A38" s="2" t="s">
        <v>303</v>
      </c>
      <c r="B38">
        <v>65.9268</v>
      </c>
      <c r="C38">
        <v>65.9268</v>
      </c>
      <c r="I38" s="17" t="s">
        <v>304</v>
      </c>
      <c r="J38" s="1">
        <v>73.6666</v>
      </c>
      <c r="K38" s="1">
        <v>73.6666</v>
      </c>
    </row>
    <row r="39" spans="1:11">
      <c r="A39" s="2" t="s">
        <v>305</v>
      </c>
      <c r="B39">
        <v>65.5494</v>
      </c>
      <c r="C39">
        <v>65.5494</v>
      </c>
      <c r="I39" s="17" t="s">
        <v>306</v>
      </c>
      <c r="J39" s="1">
        <v>72.4408</v>
      </c>
      <c r="K39" s="1">
        <v>72.4408</v>
      </c>
    </row>
    <row r="40" spans="1:11">
      <c r="A40" s="2" t="s">
        <v>307</v>
      </c>
      <c r="B40">
        <v>65.9268</v>
      </c>
      <c r="C40">
        <v>65.9268</v>
      </c>
      <c r="I40" s="17" t="s">
        <v>308</v>
      </c>
      <c r="J40" s="1">
        <v>73.6666</v>
      </c>
      <c r="K40" s="1">
        <v>73.6666</v>
      </c>
    </row>
    <row r="41" spans="1:11">
      <c r="A41" s="2" t="s">
        <v>309</v>
      </c>
      <c r="B41">
        <v>65.9268</v>
      </c>
      <c r="C41">
        <v>65.9268</v>
      </c>
      <c r="I41" s="17" t="s">
        <v>310</v>
      </c>
      <c r="J41" s="1">
        <v>73.6666</v>
      </c>
      <c r="K41" s="1">
        <v>73.6666</v>
      </c>
    </row>
    <row r="42" spans="1:11">
      <c r="A42" s="2" t="s">
        <v>23</v>
      </c>
      <c r="I42" s="1" t="s">
        <v>222</v>
      </c>
      <c r="J42" s="23">
        <f>AVERAGE(J30:J41)</f>
        <v>73.0644083333333</v>
      </c>
      <c r="K42" s="23">
        <f>AVERAGE(K30:K41)</f>
        <v>73.0644083333333</v>
      </c>
    </row>
    <row r="43" spans="1:11">
      <c r="A43" s="2"/>
      <c r="I43" s="2"/>
      <c r="J43" s="3"/>
      <c r="K43" s="3"/>
    </row>
    <row r="44" spans="1:11">
      <c r="A44" s="2" t="s">
        <v>311</v>
      </c>
      <c r="B44" s="12">
        <v>75.11</v>
      </c>
      <c r="C44" s="12">
        <v>75.11</v>
      </c>
      <c r="I44" s="2" t="s">
        <v>312</v>
      </c>
      <c r="J44" s="3">
        <v>71.0201</v>
      </c>
      <c r="K44" s="3">
        <v>71.0201</v>
      </c>
    </row>
    <row r="45" spans="1:11">
      <c r="A45" s="2" t="s">
        <v>313</v>
      </c>
      <c r="B45" s="12">
        <v>77.108</v>
      </c>
      <c r="C45" s="12">
        <v>77.108</v>
      </c>
      <c r="I45" s="2" t="s">
        <v>314</v>
      </c>
      <c r="J45" s="3">
        <v>73.2154</v>
      </c>
      <c r="K45" s="3">
        <v>73.2154</v>
      </c>
    </row>
    <row r="46" spans="1:11">
      <c r="A46" s="2" t="s">
        <v>315</v>
      </c>
      <c r="B46" s="12">
        <v>77.108</v>
      </c>
      <c r="C46" s="12">
        <v>77.108</v>
      </c>
      <c r="I46" s="2" t="s">
        <v>316</v>
      </c>
      <c r="J46" s="3">
        <v>73.2154</v>
      </c>
      <c r="K46" s="3">
        <v>73.2154</v>
      </c>
    </row>
    <row r="47" spans="1:11">
      <c r="A47" s="2" t="s">
        <v>317</v>
      </c>
      <c r="B47" s="12">
        <v>76.3448</v>
      </c>
      <c r="C47" s="12">
        <v>76.3448</v>
      </c>
      <c r="I47" s="2" t="s">
        <v>318</v>
      </c>
      <c r="J47" s="3">
        <v>72.4408</v>
      </c>
      <c r="K47" s="3">
        <v>72.4408</v>
      </c>
    </row>
    <row r="48" spans="1:11">
      <c r="A48" s="2" t="s">
        <v>319</v>
      </c>
      <c r="B48" s="12">
        <v>77.297</v>
      </c>
      <c r="C48" s="12">
        <v>77.297</v>
      </c>
      <c r="I48" s="2" t="s">
        <v>320</v>
      </c>
      <c r="J48" s="3">
        <v>73.6666</v>
      </c>
      <c r="K48" s="3">
        <v>73.6666</v>
      </c>
    </row>
    <row r="49" spans="1:11">
      <c r="A49" s="2" t="s">
        <v>321</v>
      </c>
      <c r="B49" s="12">
        <v>77.297</v>
      </c>
      <c r="C49" s="12">
        <v>77.297</v>
      </c>
      <c r="I49" s="2" t="s">
        <v>322</v>
      </c>
      <c r="J49" s="3">
        <v>73.6666</v>
      </c>
      <c r="K49" s="3">
        <v>73.6666</v>
      </c>
    </row>
    <row r="50" spans="1:11">
      <c r="A50" s="2" t="s">
        <v>323</v>
      </c>
      <c r="B50" s="12">
        <v>76.3448</v>
      </c>
      <c r="C50" s="12">
        <v>76.3448</v>
      </c>
      <c r="I50" s="2" t="s">
        <v>324</v>
      </c>
      <c r="J50" s="3">
        <v>72.4408</v>
      </c>
      <c r="K50" s="3">
        <v>72.4408</v>
      </c>
    </row>
    <row r="51" spans="1:11">
      <c r="A51" s="2" t="s">
        <v>325</v>
      </c>
      <c r="B51" s="12">
        <v>77.297</v>
      </c>
      <c r="C51" s="12">
        <v>77.297</v>
      </c>
      <c r="I51" s="2" t="s">
        <v>326</v>
      </c>
      <c r="J51" s="3">
        <v>73.6666</v>
      </c>
      <c r="K51" s="3">
        <v>73.6666</v>
      </c>
    </row>
    <row r="52" spans="1:11">
      <c r="A52" s="2" t="s">
        <v>327</v>
      </c>
      <c r="B52" s="12">
        <v>77.297</v>
      </c>
      <c r="C52" s="12">
        <v>77.297</v>
      </c>
      <c r="I52" s="2" t="s">
        <v>328</v>
      </c>
      <c r="J52" s="3">
        <v>73.6666</v>
      </c>
      <c r="K52" s="3">
        <v>73.6666</v>
      </c>
    </row>
    <row r="53" spans="1:11">
      <c r="A53" s="2" t="s">
        <v>329</v>
      </c>
      <c r="B53" s="12">
        <v>76.3448</v>
      </c>
      <c r="C53" s="12">
        <v>76.3448</v>
      </c>
      <c r="I53" s="2" t="s">
        <v>330</v>
      </c>
      <c r="J53" s="3">
        <v>72.4408</v>
      </c>
      <c r="K53" s="3">
        <v>72.4408</v>
      </c>
    </row>
    <row r="54" spans="1:11">
      <c r="A54" s="2" t="s">
        <v>331</v>
      </c>
      <c r="B54" s="12">
        <v>77.297</v>
      </c>
      <c r="C54" s="12">
        <v>77.297</v>
      </c>
      <c r="I54" s="2" t="s">
        <v>332</v>
      </c>
      <c r="J54" s="3">
        <v>73.6666</v>
      </c>
      <c r="K54" s="3">
        <v>73.6666</v>
      </c>
    </row>
    <row r="55" spans="1:11">
      <c r="A55" s="2" t="s">
        <v>333</v>
      </c>
      <c r="B55" s="12">
        <v>77.297</v>
      </c>
      <c r="C55" s="12">
        <v>77.297</v>
      </c>
      <c r="I55" s="2" t="s">
        <v>334</v>
      </c>
      <c r="J55" s="3">
        <v>73.6666</v>
      </c>
      <c r="K55" s="3">
        <v>73.6666</v>
      </c>
    </row>
    <row r="56" spans="1:11">
      <c r="A56" s="2" t="s">
        <v>23</v>
      </c>
      <c r="I56" s="3" t="s">
        <v>222</v>
      </c>
      <c r="J56" s="3"/>
      <c r="K56" s="3"/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3"/>
  <sheetViews>
    <sheetView workbookViewId="0">
      <selection activeCell="N27" sqref="N27"/>
    </sheetView>
  </sheetViews>
  <sheetFormatPr defaultColWidth="8.72727272727273" defaultRowHeight="14"/>
  <cols>
    <col min="1" max="1" width="16.9090909090909" customWidth="1"/>
    <col min="5" max="5" width="20" customWidth="1"/>
    <col min="9" max="9" width="18.9090909090909" customWidth="1"/>
  </cols>
  <sheetData>
    <row r="1" spans="1:15">
      <c r="A1" t="s">
        <v>0</v>
      </c>
      <c r="B1" s="3" t="s">
        <v>8</v>
      </c>
      <c r="C1" s="3" t="s">
        <v>9</v>
      </c>
      <c r="E1" t="s">
        <v>0</v>
      </c>
      <c r="F1" s="3" t="s">
        <v>8</v>
      </c>
      <c r="G1" s="3" t="s">
        <v>9</v>
      </c>
      <c r="I1" t="s">
        <v>0</v>
      </c>
      <c r="J1" s="3" t="s">
        <v>8</v>
      </c>
      <c r="K1" s="3" t="s">
        <v>9</v>
      </c>
      <c r="M1" s="2"/>
      <c r="N1" s="2"/>
      <c r="O1" s="2"/>
    </row>
    <row r="2" spans="1:15">
      <c r="A2" s="2" t="s">
        <v>60</v>
      </c>
      <c r="B2" s="12">
        <v>62.6755</v>
      </c>
      <c r="C2" s="12">
        <v>62.6755</v>
      </c>
      <c r="E2" s="2" t="s">
        <v>335</v>
      </c>
      <c r="F2">
        <v>63.9763</v>
      </c>
      <c r="G2">
        <v>63.9763</v>
      </c>
      <c r="I2" s="2" t="s">
        <v>336</v>
      </c>
      <c r="J2">
        <v>58.1763</v>
      </c>
      <c r="K2">
        <v>58.1763</v>
      </c>
      <c r="M2" s="2"/>
      <c r="N2" s="12"/>
      <c r="O2" s="12"/>
    </row>
    <row r="3" spans="1:15">
      <c r="A3" s="2" t="s">
        <v>337</v>
      </c>
      <c r="B3" s="12">
        <v>64.145</v>
      </c>
      <c r="C3" s="12">
        <v>64.145</v>
      </c>
      <c r="E3" s="2" t="s">
        <v>61</v>
      </c>
      <c r="F3">
        <v>64.3342</v>
      </c>
      <c r="G3">
        <v>64.3342</v>
      </c>
      <c r="I3" s="2" t="s">
        <v>338</v>
      </c>
      <c r="J3">
        <v>59.7079</v>
      </c>
      <c r="K3">
        <v>59.7079</v>
      </c>
      <c r="M3" s="2"/>
      <c r="N3" s="12"/>
      <c r="O3" s="12"/>
    </row>
    <row r="4" spans="1:15">
      <c r="A4" s="2" t="s">
        <v>339</v>
      </c>
      <c r="B4" s="12">
        <v>64.145</v>
      </c>
      <c r="C4" s="12">
        <v>64.145</v>
      </c>
      <c r="E4" s="2" t="s">
        <v>62</v>
      </c>
      <c r="F4">
        <v>64.3342</v>
      </c>
      <c r="G4">
        <v>64.3342</v>
      </c>
      <c r="I4" s="2" t="s">
        <v>340</v>
      </c>
      <c r="J4">
        <v>59.7079</v>
      </c>
      <c r="K4">
        <v>59.7079</v>
      </c>
      <c r="M4" s="2"/>
      <c r="N4" s="12"/>
      <c r="O4" s="12"/>
    </row>
    <row r="5" spans="1:15">
      <c r="A5" s="2" t="s">
        <v>341</v>
      </c>
      <c r="B5" s="12">
        <v>63.5085</v>
      </c>
      <c r="C5" s="12">
        <v>63.5085</v>
      </c>
      <c r="E5" s="2" t="s">
        <v>63</v>
      </c>
      <c r="F5">
        <v>64.3342</v>
      </c>
      <c r="G5">
        <v>64.3342</v>
      </c>
      <c r="I5" s="2" t="s">
        <v>342</v>
      </c>
      <c r="J5">
        <v>58.6</v>
      </c>
      <c r="K5">
        <v>58.6</v>
      </c>
      <c r="M5" s="2"/>
      <c r="N5" s="12"/>
      <c r="O5" s="12"/>
    </row>
    <row r="6" spans="1:15">
      <c r="A6" s="2" t="s">
        <v>343</v>
      </c>
      <c r="B6" s="12">
        <v>64.3342</v>
      </c>
      <c r="C6" s="12">
        <v>64.3342</v>
      </c>
      <c r="E6" s="2" t="s">
        <v>64</v>
      </c>
      <c r="F6">
        <v>64.3342</v>
      </c>
      <c r="G6">
        <v>64.3342</v>
      </c>
      <c r="I6" s="2" t="s">
        <v>344</v>
      </c>
      <c r="J6">
        <v>59.8629</v>
      </c>
      <c r="K6">
        <v>59.8629</v>
      </c>
      <c r="M6" s="2"/>
      <c r="N6" s="12"/>
      <c r="O6" s="12"/>
    </row>
    <row r="7" spans="1:15">
      <c r="A7" s="2" t="s">
        <v>345</v>
      </c>
      <c r="B7" s="12">
        <v>64.3342</v>
      </c>
      <c r="C7" s="12">
        <v>64.3342</v>
      </c>
      <c r="E7" s="2" t="s">
        <v>65</v>
      </c>
      <c r="F7">
        <v>64.3342</v>
      </c>
      <c r="G7">
        <v>64.3342</v>
      </c>
      <c r="I7" s="2" t="s">
        <v>346</v>
      </c>
      <c r="J7">
        <v>60.0661</v>
      </c>
      <c r="K7">
        <v>60.0661</v>
      </c>
      <c r="M7" s="2"/>
      <c r="N7" s="12"/>
      <c r="O7" s="12"/>
    </row>
    <row r="8" spans="1:15">
      <c r="A8" s="2" t="s">
        <v>347</v>
      </c>
      <c r="B8" s="12">
        <v>63.5085</v>
      </c>
      <c r="C8" s="12">
        <v>63.5085</v>
      </c>
      <c r="E8" s="2" t="s">
        <v>66</v>
      </c>
      <c r="F8">
        <v>64.3342</v>
      </c>
      <c r="G8">
        <v>64.3342</v>
      </c>
      <c r="I8" s="2" t="s">
        <v>348</v>
      </c>
      <c r="J8">
        <v>58.6</v>
      </c>
      <c r="K8">
        <v>58.6</v>
      </c>
      <c r="M8" s="2"/>
      <c r="N8" s="12"/>
      <c r="O8" s="12"/>
    </row>
    <row r="9" spans="1:15">
      <c r="A9" s="2" t="s">
        <v>349</v>
      </c>
      <c r="B9" s="12">
        <v>64.3342</v>
      </c>
      <c r="C9" s="12">
        <v>64.3342</v>
      </c>
      <c r="E9" s="2" t="s">
        <v>67</v>
      </c>
      <c r="F9">
        <v>64.3342</v>
      </c>
      <c r="G9">
        <v>64.3342</v>
      </c>
      <c r="I9" s="2" t="s">
        <v>350</v>
      </c>
      <c r="J9">
        <v>60.0661</v>
      </c>
      <c r="K9">
        <v>60.0661</v>
      </c>
      <c r="M9" s="2"/>
      <c r="N9" s="12"/>
      <c r="O9" s="12"/>
    </row>
    <row r="10" spans="1:15">
      <c r="A10" s="2" t="s">
        <v>351</v>
      </c>
      <c r="B10" s="12">
        <v>64.3342</v>
      </c>
      <c r="C10" s="12">
        <v>64.3342</v>
      </c>
      <c r="E10" s="2" t="s">
        <v>68</v>
      </c>
      <c r="F10">
        <v>64.3342</v>
      </c>
      <c r="G10">
        <v>64.3342</v>
      </c>
      <c r="I10" s="2" t="s">
        <v>352</v>
      </c>
      <c r="J10">
        <v>61.8629</v>
      </c>
      <c r="K10">
        <v>61.8629</v>
      </c>
      <c r="M10" s="2"/>
      <c r="N10" s="12"/>
      <c r="O10" s="12"/>
    </row>
    <row r="11" spans="1:15">
      <c r="A11" s="2" t="s">
        <v>353</v>
      </c>
      <c r="B11" s="12">
        <v>63.5085</v>
      </c>
      <c r="C11" s="12">
        <v>63.5085</v>
      </c>
      <c r="E11" s="2" t="s">
        <v>69</v>
      </c>
      <c r="F11">
        <v>64.3342</v>
      </c>
      <c r="G11">
        <v>64.3342</v>
      </c>
      <c r="I11" s="2" t="s">
        <v>354</v>
      </c>
      <c r="J11">
        <v>58.6</v>
      </c>
      <c r="K11">
        <v>58.6</v>
      </c>
      <c r="M11" s="2"/>
      <c r="N11" s="12"/>
      <c r="O11" s="12"/>
    </row>
    <row r="12" spans="1:15">
      <c r="A12" s="2" t="s">
        <v>355</v>
      </c>
      <c r="B12" s="12">
        <v>64.3342</v>
      </c>
      <c r="C12" s="12">
        <v>64.3342</v>
      </c>
      <c r="E12" s="2" t="s">
        <v>70</v>
      </c>
      <c r="F12">
        <v>64.3342</v>
      </c>
      <c r="G12">
        <v>64.3342</v>
      </c>
      <c r="I12" s="2" t="s">
        <v>356</v>
      </c>
      <c r="J12">
        <v>60.0661</v>
      </c>
      <c r="K12">
        <v>60.0661</v>
      </c>
      <c r="M12" s="2"/>
      <c r="N12" s="12"/>
      <c r="O12" s="12"/>
    </row>
    <row r="13" spans="1:15">
      <c r="A13" s="2" t="s">
        <v>357</v>
      </c>
      <c r="B13" s="12">
        <v>64.3342</v>
      </c>
      <c r="C13" s="12">
        <v>64.3342</v>
      </c>
      <c r="E13" s="2" t="s">
        <v>71</v>
      </c>
      <c r="F13">
        <v>64.3342</v>
      </c>
      <c r="G13">
        <v>64.3342</v>
      </c>
      <c r="I13" s="2" t="s">
        <v>358</v>
      </c>
      <c r="J13">
        <v>61.8629</v>
      </c>
      <c r="K13">
        <v>61.8629</v>
      </c>
      <c r="M13" s="2"/>
      <c r="N13" s="12"/>
      <c r="O13" s="12"/>
    </row>
    <row r="14" spans="1:15">
      <c r="A14" s="2" t="s">
        <v>23</v>
      </c>
      <c r="B14" s="16">
        <f>AVERAGE(B2:B13)</f>
        <v>63.9580166666667</v>
      </c>
      <c r="C14" s="16">
        <f>AVERAGE(C2:C13)</f>
        <v>63.9580166666667</v>
      </c>
      <c r="E14" s="2" t="s">
        <v>23</v>
      </c>
      <c r="I14" s="2" t="s">
        <v>23</v>
      </c>
      <c r="M14" s="2"/>
      <c r="N14" s="16"/>
      <c r="O14" s="16"/>
    </row>
    <row r="15" spans="1:15">
      <c r="A15" s="2"/>
      <c r="B15" s="16">
        <f>AVERAGE(B14,B46)</f>
        <v>63.9580166666667</v>
      </c>
      <c r="C15" s="16">
        <f>AVERAGE(C14,C46)</f>
        <v>63.9580166666667</v>
      </c>
      <c r="M15" s="2"/>
      <c r="N15" s="16"/>
      <c r="O15" s="16"/>
    </row>
    <row r="16" spans="1:15">
      <c r="A16" s="2"/>
      <c r="B16" s="16"/>
      <c r="C16" s="16"/>
      <c r="M16" s="2"/>
      <c r="N16" s="12"/>
      <c r="O16" s="12"/>
    </row>
    <row r="17" spans="1:15">
      <c r="A17" s="2" t="s">
        <v>72</v>
      </c>
      <c r="B17" s="12">
        <v>64.6985</v>
      </c>
      <c r="C17" s="12">
        <v>64.6985</v>
      </c>
      <c r="E17" s="2" t="s">
        <v>359</v>
      </c>
      <c r="F17">
        <v>66.122</v>
      </c>
      <c r="G17">
        <v>66.122</v>
      </c>
      <c r="I17" s="2" t="s">
        <v>360</v>
      </c>
      <c r="J17">
        <v>59.5707</v>
      </c>
      <c r="K17">
        <v>66.4799</v>
      </c>
      <c r="M17" s="2"/>
      <c r="N17" s="12"/>
      <c r="O17" s="12"/>
    </row>
    <row r="18" spans="1:15">
      <c r="A18" s="2" t="s">
        <v>361</v>
      </c>
      <c r="B18" s="12">
        <v>66.1784</v>
      </c>
      <c r="C18" s="12">
        <v>66.1784</v>
      </c>
      <c r="E18" s="2" t="s">
        <v>73</v>
      </c>
      <c r="F18">
        <v>66.4799</v>
      </c>
      <c r="G18">
        <v>66.4799</v>
      </c>
      <c r="I18" s="2" t="s">
        <v>362</v>
      </c>
      <c r="J18">
        <v>60.5782</v>
      </c>
      <c r="K18">
        <v>66.4799</v>
      </c>
      <c r="M18" s="2"/>
      <c r="N18" s="12"/>
      <c r="O18" s="12"/>
    </row>
    <row r="19" spans="1:15">
      <c r="A19" s="2" t="s">
        <v>363</v>
      </c>
      <c r="B19" s="12">
        <v>66.1784</v>
      </c>
      <c r="C19" s="12">
        <v>66.1784</v>
      </c>
      <c r="E19" s="2" t="s">
        <v>74</v>
      </c>
      <c r="F19">
        <v>66.4799</v>
      </c>
      <c r="G19">
        <v>66.4799</v>
      </c>
      <c r="I19" s="2" t="s">
        <v>364</v>
      </c>
      <c r="J19">
        <v>60.7434</v>
      </c>
      <c r="K19">
        <v>66.4799</v>
      </c>
      <c r="M19" s="2"/>
      <c r="N19" s="12"/>
      <c r="O19" s="12"/>
    </row>
    <row r="20" spans="1:15">
      <c r="A20" s="2" t="s">
        <v>365</v>
      </c>
      <c r="B20" s="12">
        <v>65.5494</v>
      </c>
      <c r="C20" s="12">
        <v>65.5494</v>
      </c>
      <c r="E20" s="2" t="s">
        <v>75</v>
      </c>
      <c r="F20">
        <v>66.4799</v>
      </c>
      <c r="G20">
        <v>66.4799</v>
      </c>
      <c r="I20" s="2" t="s">
        <v>366</v>
      </c>
      <c r="J20">
        <v>60.4804</v>
      </c>
      <c r="K20">
        <v>66.4799</v>
      </c>
      <c r="M20" s="2"/>
      <c r="N20" s="12"/>
      <c r="O20" s="12"/>
    </row>
    <row r="21" spans="1:15">
      <c r="A21" s="2" t="s">
        <v>367</v>
      </c>
      <c r="B21" s="12">
        <v>66.3679</v>
      </c>
      <c r="C21" s="12">
        <v>66.3679</v>
      </c>
      <c r="E21" s="2" t="s">
        <v>76</v>
      </c>
      <c r="F21">
        <v>66.4799</v>
      </c>
      <c r="G21">
        <v>66.4799</v>
      </c>
      <c r="I21" s="2" t="s">
        <v>368</v>
      </c>
      <c r="J21">
        <v>61.4326</v>
      </c>
      <c r="K21">
        <v>66.4799</v>
      </c>
      <c r="M21" s="2"/>
      <c r="N21" s="12"/>
      <c r="O21" s="12"/>
    </row>
    <row r="22" spans="1:15">
      <c r="A22" s="2" t="s">
        <v>369</v>
      </c>
      <c r="B22" s="12">
        <v>66.3679</v>
      </c>
      <c r="C22" s="12">
        <v>66.3679</v>
      </c>
      <c r="E22" s="2" t="s">
        <v>77</v>
      </c>
      <c r="F22">
        <v>66.4799</v>
      </c>
      <c r="G22">
        <v>66.4799</v>
      </c>
      <c r="I22" s="2" t="s">
        <v>370</v>
      </c>
      <c r="J22">
        <v>61.4326</v>
      </c>
      <c r="K22">
        <v>66.4799</v>
      </c>
      <c r="M22" s="2"/>
      <c r="N22" s="12"/>
      <c r="O22" s="12"/>
    </row>
    <row r="23" spans="1:15">
      <c r="A23" s="2" t="s">
        <v>371</v>
      </c>
      <c r="B23" s="12">
        <v>65.5494</v>
      </c>
      <c r="C23" s="12">
        <v>65.5494</v>
      </c>
      <c r="E23" s="2" t="s">
        <v>78</v>
      </c>
      <c r="F23">
        <v>66.4799</v>
      </c>
      <c r="G23">
        <v>66.4799</v>
      </c>
      <c r="I23" s="2" t="s">
        <v>372</v>
      </c>
      <c r="J23">
        <v>60.4804</v>
      </c>
      <c r="K23">
        <v>66.4799</v>
      </c>
      <c r="M23" s="2"/>
      <c r="N23" s="12"/>
      <c r="O23" s="12"/>
    </row>
    <row r="24" spans="1:15">
      <c r="A24" s="2" t="s">
        <v>373</v>
      </c>
      <c r="B24" s="12">
        <v>66.3679</v>
      </c>
      <c r="C24" s="12">
        <v>66.3679</v>
      </c>
      <c r="E24" s="2" t="s">
        <v>79</v>
      </c>
      <c r="F24">
        <v>66.4799</v>
      </c>
      <c r="G24">
        <v>66.4799</v>
      </c>
      <c r="I24" s="2" t="s">
        <v>374</v>
      </c>
      <c r="J24">
        <v>61.4326</v>
      </c>
      <c r="K24">
        <v>66.4799</v>
      </c>
      <c r="M24" s="2"/>
      <c r="N24" s="12"/>
      <c r="O24" s="12"/>
    </row>
    <row r="25" spans="1:15">
      <c r="A25" s="2" t="s">
        <v>375</v>
      </c>
      <c r="B25" s="12">
        <v>66.3679</v>
      </c>
      <c r="C25" s="12">
        <v>66.3679</v>
      </c>
      <c r="E25" s="2" t="s">
        <v>80</v>
      </c>
      <c r="F25">
        <v>66.4799</v>
      </c>
      <c r="G25">
        <v>66.4799</v>
      </c>
      <c r="I25" s="2" t="s">
        <v>376</v>
      </c>
      <c r="J25">
        <v>61.4326</v>
      </c>
      <c r="K25">
        <v>66.4799</v>
      </c>
      <c r="M25" s="2"/>
      <c r="N25" s="12"/>
      <c r="O25" s="12"/>
    </row>
    <row r="26" spans="1:15">
      <c r="A26" s="2" t="s">
        <v>377</v>
      </c>
      <c r="B26" s="12">
        <v>65.5494</v>
      </c>
      <c r="C26" s="12">
        <v>65.5494</v>
      </c>
      <c r="E26" s="2" t="s">
        <v>81</v>
      </c>
      <c r="F26">
        <v>66.4799</v>
      </c>
      <c r="G26">
        <v>66.4799</v>
      </c>
      <c r="I26" s="2" t="s">
        <v>378</v>
      </c>
      <c r="J26">
        <v>60.4804</v>
      </c>
      <c r="K26">
        <v>66.4799</v>
      </c>
      <c r="M26" s="2"/>
      <c r="N26" s="12"/>
      <c r="O26" s="12"/>
    </row>
    <row r="27" spans="1:15">
      <c r="A27" s="2" t="s">
        <v>379</v>
      </c>
      <c r="B27" s="12">
        <v>66.3679</v>
      </c>
      <c r="C27" s="12">
        <v>66.3679</v>
      </c>
      <c r="E27" s="2" t="s">
        <v>82</v>
      </c>
      <c r="F27">
        <v>66.4799</v>
      </c>
      <c r="G27">
        <v>66.4799</v>
      </c>
      <c r="I27" s="2" t="s">
        <v>380</v>
      </c>
      <c r="J27">
        <v>61.4326</v>
      </c>
      <c r="K27">
        <v>66.4799</v>
      </c>
      <c r="M27" s="2"/>
      <c r="N27" s="12"/>
      <c r="O27" s="12"/>
    </row>
    <row r="28" spans="1:15">
      <c r="A28" s="2" t="s">
        <v>381</v>
      </c>
      <c r="B28" s="12">
        <v>66.3679</v>
      </c>
      <c r="C28" s="12">
        <v>66.3679</v>
      </c>
      <c r="E28" s="2" t="s">
        <v>83</v>
      </c>
      <c r="F28">
        <v>66.4799</v>
      </c>
      <c r="G28">
        <v>66.4799</v>
      </c>
      <c r="I28" s="2" t="s">
        <v>382</v>
      </c>
      <c r="J28">
        <v>61.4326</v>
      </c>
      <c r="K28">
        <v>66.4799</v>
      </c>
      <c r="M28" s="2"/>
      <c r="N28" s="12"/>
      <c r="O28" s="12"/>
    </row>
    <row r="29" spans="1:15">
      <c r="A29" s="2" t="s">
        <v>23</v>
      </c>
      <c r="B29" s="12">
        <f>AVERAGE(B17:B28)</f>
        <v>65.992575</v>
      </c>
      <c r="C29" s="12">
        <f>AVERAGE(C17:C28)</f>
        <v>65.992575</v>
      </c>
      <c r="E29" s="2" t="s">
        <v>23</v>
      </c>
      <c r="I29" s="2" t="s">
        <v>23</v>
      </c>
      <c r="M29" s="2"/>
      <c r="N29" s="2"/>
      <c r="O29" s="2"/>
    </row>
    <row r="30" spans="1:15">
      <c r="M30" s="2"/>
      <c r="N30" s="2"/>
      <c r="O30" s="2"/>
    </row>
    <row r="31" spans="1:15">
      <c r="A31" s="2"/>
      <c r="M31" s="17"/>
      <c r="N31" s="2"/>
      <c r="O31" s="2"/>
    </row>
    <row r="32" spans="1:15">
      <c r="M32" s="2"/>
      <c r="N32" s="2"/>
      <c r="O32" s="2"/>
    </row>
    <row r="33" spans="1:15">
      <c r="A33" s="2"/>
      <c r="B33"/>
      <c r="C33"/>
      <c r="M33" s="17"/>
      <c r="N33" s="2"/>
      <c r="O33" s="2"/>
    </row>
    <row r="34" spans="1:15">
      <c r="A34" s="2"/>
      <c r="B34"/>
      <c r="C34"/>
      <c r="M34" s="17"/>
      <c r="N34" s="2"/>
      <c r="O34" s="2"/>
    </row>
    <row r="35" spans="1:15">
      <c r="A35" s="2"/>
      <c r="B35"/>
      <c r="C35"/>
      <c r="M35" s="17"/>
      <c r="N35" s="2"/>
      <c r="O35" s="2"/>
    </row>
    <row r="36" spans="1:15">
      <c r="A36" s="2"/>
      <c r="B36"/>
      <c r="C36"/>
      <c r="M36" s="2"/>
      <c r="N36" s="2"/>
      <c r="O36" s="2"/>
    </row>
    <row r="37" spans="1:15">
      <c r="A37" s="2"/>
      <c r="B37"/>
      <c r="C37"/>
      <c r="M37" s="2"/>
      <c r="N37" s="2"/>
      <c r="O37" s="2"/>
    </row>
    <row r="38" spans="1:15">
      <c r="A38" s="2"/>
      <c r="B38"/>
      <c r="C38"/>
      <c r="M38" s="2"/>
      <c r="N38" s="2"/>
      <c r="O38" s="2"/>
    </row>
    <row r="39" spans="1:15">
      <c r="A39" s="2"/>
      <c r="B39"/>
      <c r="C39"/>
      <c r="M39" s="2"/>
      <c r="N39" s="2"/>
      <c r="O39" s="2"/>
    </row>
    <row r="40" spans="1:15">
      <c r="A40" s="2"/>
      <c r="B40"/>
      <c r="C40"/>
      <c r="M40" s="2"/>
      <c r="N40" s="2"/>
      <c r="O40" s="2"/>
    </row>
    <row r="41" spans="1:15">
      <c r="A41" s="2"/>
      <c r="B41"/>
      <c r="C41"/>
      <c r="M41" s="2"/>
      <c r="N41" s="2"/>
      <c r="O41" s="2"/>
    </row>
    <row r="42" spans="1:15">
      <c r="A42" s="2"/>
      <c r="B42"/>
      <c r="C42"/>
      <c r="M42" s="2"/>
      <c r="N42" s="2"/>
      <c r="O42" s="2"/>
    </row>
    <row r="43" spans="1:15">
      <c r="A43" s="2"/>
      <c r="B43"/>
      <c r="C43"/>
      <c r="M43" s="2"/>
      <c r="N43" s="2"/>
      <c r="O43" s="2"/>
    </row>
    <row r="44" spans="1:15">
      <c r="A44" s="2"/>
      <c r="B44"/>
      <c r="C44"/>
      <c r="M44" s="2"/>
      <c r="N44" s="2"/>
      <c r="O44" s="2"/>
    </row>
    <row r="45" spans="1:15">
      <c r="A45" s="2"/>
      <c r="M45" s="2"/>
      <c r="N45" s="2"/>
      <c r="O45" s="2"/>
    </row>
    <row r="46" spans="1:15">
      <c r="M46" s="2"/>
      <c r="N46" s="2"/>
      <c r="O46" s="2"/>
    </row>
    <row r="47" spans="1:15">
      <c r="A47" s="2"/>
      <c r="B47"/>
      <c r="C47"/>
      <c r="M47" s="2"/>
      <c r="N47" s="2"/>
      <c r="O47" s="2"/>
    </row>
    <row r="48" spans="1:15">
      <c r="A48" s="2"/>
      <c r="B48"/>
      <c r="C48"/>
      <c r="M48" s="2"/>
      <c r="N48" s="2"/>
      <c r="O48" s="2"/>
    </row>
    <row r="49" spans="1:15">
      <c r="A49" s="2"/>
      <c r="B49"/>
      <c r="C49"/>
      <c r="M49" s="2"/>
      <c r="N49" s="2"/>
      <c r="O49" s="2"/>
    </row>
    <row r="50" spans="1:15">
      <c r="A50" s="2"/>
      <c r="B50"/>
      <c r="C50"/>
      <c r="M50" s="2"/>
      <c r="N50" s="2"/>
      <c r="O50" s="2"/>
    </row>
    <row r="51" spans="1:15">
      <c r="A51" s="2"/>
      <c r="B51"/>
      <c r="C51"/>
      <c r="M51" s="2"/>
      <c r="N51" s="2"/>
      <c r="O51" s="2"/>
    </row>
    <row r="52" spans="1:15">
      <c r="A52" s="2"/>
      <c r="B52"/>
      <c r="C52"/>
      <c r="M52" s="2"/>
      <c r="N52" s="2"/>
      <c r="O52" s="2"/>
    </row>
    <row r="53" spans="1:15">
      <c r="A53" s="2"/>
      <c r="B53"/>
      <c r="C53"/>
      <c r="M53" s="2"/>
      <c r="N53" s="2"/>
      <c r="O53" s="2"/>
    </row>
    <row r="54" spans="1:15">
      <c r="A54" s="2"/>
      <c r="B54"/>
      <c r="C54"/>
      <c r="M54" s="2"/>
      <c r="N54" s="2"/>
      <c r="O54" s="2"/>
    </row>
    <row r="55" spans="1:15">
      <c r="A55" s="2"/>
      <c r="B55"/>
      <c r="C55"/>
      <c r="M55" s="2"/>
      <c r="N55" s="2"/>
      <c r="O55" s="2"/>
    </row>
    <row r="56" spans="1:15">
      <c r="A56" s="2"/>
      <c r="B56"/>
      <c r="C56"/>
      <c r="M56" s="2"/>
      <c r="N56" s="2"/>
      <c r="O56" s="2"/>
    </row>
    <row r="57" spans="1:15">
      <c r="A57" s="2"/>
      <c r="B57"/>
      <c r="C57"/>
      <c r="M57" s="2"/>
      <c r="N57" s="2"/>
      <c r="O57" s="2"/>
    </row>
    <row r="58" spans="1:15">
      <c r="A58" s="2"/>
      <c r="B58"/>
      <c r="C58"/>
      <c r="M58" s="2"/>
      <c r="N58" s="2"/>
      <c r="O58" s="2"/>
    </row>
    <row r="59" spans="1:15">
      <c r="A59" s="2"/>
    </row>
    <row r="61" spans="1:15">
      <c r="A61" s="2"/>
    </row>
    <row r="62" spans="1:15">
      <c r="A62" s="2"/>
    </row>
    <row r="63" spans="1:15">
      <c r="A63" s="2"/>
    </row>
    <row r="64" spans="1:15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3"/>
  <sheetViews>
    <sheetView workbookViewId="0">
      <selection activeCell="G14" sqref="G14"/>
    </sheetView>
  </sheetViews>
  <sheetFormatPr defaultColWidth="8.72727272727273" defaultRowHeight="14"/>
  <cols>
    <col min="1" max="1" width="16.9090909090909" customWidth="1"/>
    <col min="5" max="5" width="20" customWidth="1"/>
  </cols>
  <sheetData>
    <row r="1" spans="1:11">
      <c r="A1" t="s">
        <v>0</v>
      </c>
      <c r="B1" s="3" t="s">
        <v>8</v>
      </c>
      <c r="C1" s="3" t="s">
        <v>9</v>
      </c>
      <c r="E1" t="s">
        <v>0</v>
      </c>
      <c r="F1" s="3" t="s">
        <v>8</v>
      </c>
      <c r="G1" s="3" t="s">
        <v>9</v>
      </c>
      <c r="I1" s="2"/>
      <c r="J1" s="2"/>
      <c r="K1" s="2"/>
    </row>
    <row r="2" spans="1:11">
      <c r="A2" s="9" t="s">
        <v>84</v>
      </c>
      <c r="B2" s="2">
        <v>39.0918</v>
      </c>
      <c r="C2" s="2">
        <v>39.0918</v>
      </c>
      <c r="E2" s="10" t="s">
        <v>133</v>
      </c>
      <c r="F2" s="10">
        <v>169.37</v>
      </c>
      <c r="G2" s="11">
        <v>188.343</v>
      </c>
      <c r="I2" s="2"/>
      <c r="J2" s="12"/>
      <c r="K2" s="12"/>
    </row>
    <row r="3" spans="1:11">
      <c r="A3" s="13" t="s">
        <v>85</v>
      </c>
      <c r="B3" s="2">
        <v>40.5225</v>
      </c>
      <c r="C3" s="2">
        <v>40.5225</v>
      </c>
      <c r="E3" s="10" t="s">
        <v>134</v>
      </c>
      <c r="F3" s="10">
        <v>189.41</v>
      </c>
      <c r="G3" s="11">
        <v>200.07</v>
      </c>
      <c r="I3" s="2"/>
      <c r="J3" s="12"/>
      <c r="K3" s="12"/>
    </row>
    <row r="4" spans="1:11">
      <c r="A4" s="9" t="s">
        <v>86</v>
      </c>
      <c r="B4" s="2">
        <v>40.5225</v>
      </c>
      <c r="C4" s="2">
        <v>40.5225</v>
      </c>
      <c r="E4" s="10" t="s">
        <v>135</v>
      </c>
      <c r="F4" s="10">
        <v>196.9</v>
      </c>
      <c r="G4" s="11">
        <v>198.356</v>
      </c>
      <c r="I4" s="2"/>
      <c r="J4" s="12"/>
      <c r="K4" s="12"/>
    </row>
    <row r="5" spans="1:11">
      <c r="A5" s="13" t="s">
        <v>87</v>
      </c>
      <c r="B5" s="2">
        <v>40.5225</v>
      </c>
      <c r="C5" s="2">
        <v>40.5225</v>
      </c>
      <c r="E5" s="14" t="s">
        <v>136</v>
      </c>
      <c r="F5" s="14">
        <v>196.8</v>
      </c>
      <c r="G5" s="11">
        <v>198.953</v>
      </c>
      <c r="I5" s="2"/>
      <c r="J5" s="12"/>
      <c r="K5" s="12"/>
    </row>
    <row r="6" spans="1:11">
      <c r="A6" s="13" t="s">
        <v>88</v>
      </c>
      <c r="B6" s="2">
        <v>40.9095</v>
      </c>
      <c r="C6" s="2">
        <v>40.9095</v>
      </c>
      <c r="E6" s="10" t="s">
        <v>137</v>
      </c>
      <c r="F6" s="10">
        <v>197.3</v>
      </c>
      <c r="G6" s="14">
        <v>203.82</v>
      </c>
      <c r="I6" s="2"/>
      <c r="J6" s="12"/>
      <c r="K6" s="12"/>
    </row>
    <row r="7" spans="1:11">
      <c r="A7" s="13" t="s">
        <v>89</v>
      </c>
      <c r="B7" s="2">
        <v>40.9095</v>
      </c>
      <c r="C7" s="2">
        <v>40.9095</v>
      </c>
      <c r="E7" s="10" t="s">
        <v>138</v>
      </c>
      <c r="F7" s="10">
        <v>200.16</v>
      </c>
      <c r="G7" s="11">
        <v>201.323</v>
      </c>
      <c r="I7" s="2"/>
      <c r="J7" s="12"/>
      <c r="K7" s="12"/>
    </row>
    <row r="8" spans="1:11">
      <c r="A8" s="9" t="s">
        <v>90</v>
      </c>
      <c r="B8" s="2">
        <v>40.9095</v>
      </c>
      <c r="C8" s="2">
        <v>40.9095</v>
      </c>
      <c r="E8" s="10" t="s">
        <v>139</v>
      </c>
      <c r="F8" s="10">
        <v>201.1</v>
      </c>
      <c r="G8" s="11">
        <v>203.158</v>
      </c>
      <c r="I8" s="2"/>
      <c r="J8" s="12"/>
      <c r="K8" s="12"/>
    </row>
    <row r="9" spans="1:11">
      <c r="A9" s="9" t="s">
        <v>91</v>
      </c>
      <c r="B9" s="2">
        <v>40.9095</v>
      </c>
      <c r="C9" s="2">
        <v>40.9095</v>
      </c>
      <c r="E9" s="10" t="s">
        <v>140</v>
      </c>
      <c r="F9" s="10">
        <v>202.05</v>
      </c>
      <c r="G9" s="11">
        <v>205.166</v>
      </c>
      <c r="I9" s="2"/>
      <c r="J9" s="12"/>
      <c r="K9" s="12"/>
    </row>
    <row r="10" spans="1:11">
      <c r="A10" s="9" t="s">
        <v>92</v>
      </c>
      <c r="B10" s="2">
        <v>40.9095</v>
      </c>
      <c r="C10" s="2">
        <v>40.9095</v>
      </c>
      <c r="E10" s="10" t="s">
        <v>141</v>
      </c>
      <c r="F10" s="10">
        <v>201.78</v>
      </c>
      <c r="G10" s="11">
        <v>204.388</v>
      </c>
      <c r="I10" s="2"/>
      <c r="J10" s="12"/>
      <c r="K10" s="12"/>
    </row>
    <row r="11" spans="1:11">
      <c r="A11" s="9" t="s">
        <v>93</v>
      </c>
      <c r="B11" s="2">
        <v>40.9095</v>
      </c>
      <c r="C11" s="2">
        <v>40.9095</v>
      </c>
      <c r="E11" s="10" t="s">
        <v>142</v>
      </c>
      <c r="F11" s="10">
        <v>203.79</v>
      </c>
      <c r="G11" s="11">
        <v>204.588</v>
      </c>
      <c r="I11" s="2"/>
      <c r="J11" s="12"/>
      <c r="K11" s="12"/>
    </row>
    <row r="12" spans="1:11">
      <c r="A12" s="9" t="s">
        <v>94</v>
      </c>
      <c r="B12" s="2">
        <v>40.9095</v>
      </c>
      <c r="C12" s="2">
        <v>40.9095</v>
      </c>
      <c r="E12" s="10" t="s">
        <v>143</v>
      </c>
      <c r="F12" s="10">
        <v>204.85</v>
      </c>
      <c r="G12" s="11">
        <v>205.033</v>
      </c>
      <c r="I12" s="2"/>
      <c r="J12" s="12"/>
      <c r="K12" s="12"/>
    </row>
    <row r="13" spans="1:11">
      <c r="A13" s="9" t="s">
        <v>95</v>
      </c>
      <c r="B13" s="2">
        <v>40.9095</v>
      </c>
      <c r="C13" s="2">
        <v>40.9095</v>
      </c>
      <c r="E13" s="10" t="s">
        <v>144</v>
      </c>
      <c r="F13" s="10">
        <v>203.06</v>
      </c>
      <c r="G13" s="11">
        <v>204.459</v>
      </c>
      <c r="I13" s="2"/>
      <c r="J13" s="12"/>
      <c r="K13" s="12"/>
    </row>
    <row r="14" spans="1:11">
      <c r="A14" s="9" t="s">
        <v>23</v>
      </c>
      <c r="B14" s="2">
        <f>AVERAGE(B2:B13)</f>
        <v>40.661275</v>
      </c>
      <c r="C14" s="2">
        <f>AVERAGE(C2:C13)</f>
        <v>40.661275</v>
      </c>
      <c r="E14" s="10" t="s">
        <v>23</v>
      </c>
      <c r="F14" s="15">
        <f>AVERAGE(F2:F13)</f>
        <v>197.214166666667</v>
      </c>
      <c r="G14" s="15">
        <f>AVERAGE(G2:G13)</f>
        <v>201.471416666667</v>
      </c>
      <c r="I14" s="2"/>
      <c r="J14" s="16"/>
      <c r="K14" s="16"/>
    </row>
    <row r="15" spans="1:11">
      <c r="A15" s="2"/>
      <c r="B15" s="16"/>
      <c r="C15" s="16"/>
      <c r="I15" s="2"/>
      <c r="J15" s="16"/>
      <c r="K15" s="16"/>
    </row>
    <row r="16" spans="1:11">
      <c r="A16" s="2"/>
      <c r="B16" s="16"/>
      <c r="C16" s="16"/>
      <c r="I16" s="2"/>
      <c r="J16" s="12"/>
      <c r="K16" s="12"/>
    </row>
    <row r="17" spans="1:11">
      <c r="A17" s="2"/>
      <c r="B17" s="12"/>
      <c r="C17" s="12"/>
      <c r="E17" s="2"/>
      <c r="F17"/>
      <c r="G17"/>
      <c r="I17" s="2"/>
      <c r="J17" s="12"/>
      <c r="K17" s="12"/>
    </row>
    <row r="18" spans="1:11">
      <c r="A18" s="2"/>
      <c r="B18" s="12"/>
      <c r="C18" s="12"/>
      <c r="E18" s="2"/>
      <c r="F18"/>
      <c r="G18"/>
      <c r="I18" s="2"/>
      <c r="J18" s="12"/>
      <c r="K18" s="12"/>
    </row>
    <row r="19" spans="1:11">
      <c r="A19" s="2"/>
      <c r="B19" s="12"/>
      <c r="C19" s="12"/>
      <c r="E19" s="2"/>
      <c r="F19"/>
      <c r="G19"/>
      <c r="I19" s="2"/>
      <c r="J19" s="12"/>
      <c r="K19" s="12"/>
    </row>
    <row r="20" spans="1:11">
      <c r="A20" s="2"/>
      <c r="B20" s="12"/>
      <c r="C20" s="12"/>
      <c r="E20" s="2"/>
      <c r="F20"/>
      <c r="G20"/>
      <c r="I20" s="2"/>
      <c r="J20" s="12"/>
      <c r="K20" s="12"/>
    </row>
    <row r="21" spans="1:11">
      <c r="A21" s="2"/>
      <c r="B21" s="12"/>
      <c r="C21" s="12"/>
      <c r="E21" s="2"/>
      <c r="F21"/>
      <c r="G21"/>
      <c r="I21" s="2"/>
      <c r="J21" s="12"/>
      <c r="K21" s="12"/>
    </row>
    <row r="22" spans="1:11">
      <c r="A22" s="2"/>
      <c r="B22" s="12"/>
      <c r="C22" s="12"/>
      <c r="E22" s="2"/>
      <c r="F22"/>
      <c r="G22"/>
      <c r="I22" s="2"/>
      <c r="J22" s="12"/>
      <c r="K22" s="12"/>
    </row>
    <row r="23" spans="1:11">
      <c r="A23" s="2"/>
      <c r="B23" s="12"/>
      <c r="C23" s="12"/>
      <c r="E23" s="2"/>
      <c r="F23"/>
      <c r="G23"/>
      <c r="I23" s="2"/>
      <c r="J23" s="12"/>
      <c r="K23" s="12"/>
    </row>
    <row r="24" spans="1:11">
      <c r="A24" s="2"/>
      <c r="B24" s="12"/>
      <c r="C24" s="12"/>
      <c r="E24" s="2"/>
      <c r="F24"/>
      <c r="G24"/>
      <c r="I24" s="2"/>
      <c r="J24" s="12"/>
      <c r="K24" s="12"/>
    </row>
    <row r="25" spans="1:11">
      <c r="A25" s="2"/>
      <c r="B25" s="12"/>
      <c r="C25" s="12"/>
      <c r="E25" s="2"/>
      <c r="F25"/>
      <c r="G25"/>
      <c r="I25" s="2"/>
      <c r="J25" s="12"/>
      <c r="K25" s="12"/>
    </row>
    <row r="26" spans="1:11">
      <c r="A26" s="2"/>
      <c r="B26" s="12"/>
      <c r="C26" s="12"/>
      <c r="E26" s="2"/>
      <c r="F26"/>
      <c r="G26"/>
      <c r="I26" s="2"/>
      <c r="J26" s="12"/>
      <c r="K26" s="12"/>
    </row>
    <row r="27" spans="1:11">
      <c r="A27" s="2"/>
      <c r="B27" s="12"/>
      <c r="C27" s="12"/>
      <c r="E27" s="2"/>
      <c r="F27"/>
      <c r="G27"/>
      <c r="I27" s="2"/>
      <c r="J27" s="12"/>
      <c r="K27" s="12"/>
    </row>
    <row r="28" spans="1:11">
      <c r="A28" s="2"/>
      <c r="B28" s="12"/>
      <c r="C28" s="12"/>
      <c r="E28" s="2"/>
      <c r="F28"/>
      <c r="G28"/>
      <c r="I28" s="2"/>
      <c r="J28" s="12"/>
      <c r="K28" s="12"/>
    </row>
    <row r="29" spans="1:11">
      <c r="A29" s="2"/>
      <c r="B29" s="12"/>
      <c r="C29" s="12"/>
      <c r="E29" s="2"/>
      <c r="I29" s="2"/>
      <c r="J29" s="2"/>
      <c r="K29" s="2"/>
    </row>
    <row r="30" spans="1:11">
      <c r="I30" s="2"/>
      <c r="J30" s="2"/>
      <c r="K30" s="2"/>
    </row>
    <row r="31" spans="1:11">
      <c r="A31" s="2"/>
      <c r="I31" s="17"/>
      <c r="J31" s="2"/>
      <c r="K31" s="2"/>
    </row>
    <row r="32" spans="1:11">
      <c r="I32" s="2"/>
      <c r="J32" s="2"/>
      <c r="K32" s="2"/>
    </row>
    <row r="33" spans="1:11">
      <c r="A33" s="2"/>
      <c r="I33" s="17"/>
      <c r="J33" s="2"/>
      <c r="K33" s="2"/>
    </row>
    <row r="34" spans="1:11">
      <c r="A34" s="2"/>
      <c r="I34" s="17"/>
      <c r="J34" s="2"/>
      <c r="K34" s="2"/>
    </row>
    <row r="35" spans="1:11">
      <c r="A35" s="2"/>
      <c r="I35" s="17"/>
      <c r="J35" s="2"/>
      <c r="K35" s="2"/>
    </row>
    <row r="36" spans="1:11">
      <c r="A36" s="2"/>
      <c r="I36" s="2"/>
      <c r="J36" s="2"/>
      <c r="K36" s="2"/>
    </row>
    <row r="37" spans="1:11">
      <c r="A37" s="2"/>
      <c r="I37" s="2"/>
      <c r="J37" s="2"/>
      <c r="K37" s="2"/>
    </row>
    <row r="38" spans="1:11">
      <c r="A38" s="2"/>
      <c r="I38" s="2"/>
      <c r="J38" s="2"/>
      <c r="K38" s="2"/>
    </row>
    <row r="39" spans="1:11">
      <c r="A39" s="2"/>
      <c r="I39" s="2"/>
      <c r="J39" s="2"/>
      <c r="K39" s="2"/>
    </row>
    <row r="40" spans="1:11">
      <c r="A40" s="2"/>
      <c r="I40" s="2"/>
      <c r="J40" s="2"/>
      <c r="K40" s="2"/>
    </row>
    <row r="41" spans="1:11">
      <c r="A41" s="2"/>
      <c r="I41" s="2"/>
      <c r="J41" s="2"/>
      <c r="K41" s="2"/>
    </row>
    <row r="42" spans="1:11">
      <c r="A42" s="2"/>
      <c r="I42" s="2"/>
      <c r="J42" s="2"/>
      <c r="K42" s="2"/>
    </row>
    <row r="43" spans="1:11">
      <c r="A43" s="2"/>
      <c r="I43" s="2"/>
      <c r="J43" s="2"/>
      <c r="K43" s="2"/>
    </row>
    <row r="44" spans="1:11">
      <c r="A44" s="2"/>
      <c r="I44" s="2"/>
      <c r="J44" s="2"/>
      <c r="K44" s="2"/>
    </row>
    <row r="45" spans="1:11">
      <c r="A45" s="2"/>
      <c r="I45" s="2"/>
      <c r="J45" s="2"/>
      <c r="K45" s="2"/>
    </row>
    <row r="46" spans="1:11">
      <c r="I46" s="2"/>
      <c r="J46" s="2"/>
      <c r="K46" s="2"/>
    </row>
    <row r="47" spans="1:11">
      <c r="A47" s="2"/>
      <c r="I47" s="2"/>
      <c r="J47" s="2"/>
      <c r="K47" s="2"/>
    </row>
    <row r="48" spans="1:11">
      <c r="A48" s="2"/>
      <c r="I48" s="2"/>
      <c r="J48" s="2"/>
      <c r="K48" s="2"/>
    </row>
    <row r="49" spans="1:11">
      <c r="A49" s="2"/>
      <c r="I49" s="2"/>
      <c r="J49" s="2"/>
      <c r="K49" s="2"/>
    </row>
    <row r="50" spans="1:11">
      <c r="A50" s="2"/>
      <c r="I50" s="2"/>
      <c r="J50" s="2"/>
      <c r="K50" s="2"/>
    </row>
    <row r="51" spans="1:11">
      <c r="A51" s="2"/>
      <c r="I51" s="2"/>
      <c r="J51" s="2"/>
      <c r="K51" s="2"/>
    </row>
    <row r="52" spans="1:11">
      <c r="A52" s="2"/>
      <c r="I52" s="2"/>
      <c r="J52" s="2"/>
      <c r="K52" s="2"/>
    </row>
    <row r="53" spans="1:11">
      <c r="A53" s="2"/>
      <c r="I53" s="2"/>
      <c r="J53" s="2"/>
      <c r="K53" s="2"/>
    </row>
    <row r="54" spans="1:11">
      <c r="A54" s="2"/>
      <c r="I54" s="2"/>
      <c r="J54" s="2"/>
      <c r="K54" s="2"/>
    </row>
    <row r="55" spans="1:11">
      <c r="A55" s="2"/>
      <c r="I55" s="2"/>
      <c r="J55" s="2"/>
      <c r="K55" s="2"/>
    </row>
    <row r="56" spans="1:11">
      <c r="A56" s="2"/>
      <c r="I56" s="2"/>
      <c r="J56" s="2"/>
      <c r="K56" s="2"/>
    </row>
    <row r="57" spans="1:11">
      <c r="A57" s="2"/>
      <c r="I57" s="2"/>
      <c r="J57" s="2"/>
      <c r="K57" s="2"/>
    </row>
    <row r="58" spans="1:11">
      <c r="A58" s="2"/>
      <c r="I58" s="2"/>
      <c r="J58" s="2"/>
      <c r="K58" s="2"/>
    </row>
    <row r="59" spans="1:11">
      <c r="A59" s="2"/>
    </row>
    <row r="61" spans="1:11">
      <c r="A61" s="2"/>
    </row>
    <row r="62" spans="1:11">
      <c r="A62" s="2"/>
    </row>
    <row r="63" spans="1:11">
      <c r="A63" s="2"/>
    </row>
    <row r="64" spans="1:11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25"/>
  <sheetViews>
    <sheetView tabSelected="1" workbookViewId="0">
      <selection activeCell="L30" sqref="L30"/>
    </sheetView>
  </sheetViews>
  <sheetFormatPr defaultColWidth="8.72727272727273" defaultRowHeight="14"/>
  <cols>
    <col min="3" max="4" width="12.8181818181818"/>
    <col min="5" max="5" width="13.4909090909091" customWidth="1"/>
    <col min="6" max="13" width="12.8181818181818"/>
    <col min="14" max="14" width="11.9545454545455" customWidth="1"/>
    <col min="16" max="18" width="12.8181818181818"/>
    <col min="19" max="19" width="11.6727272727273" customWidth="1"/>
    <col min="21" max="23" width="12.8181818181818"/>
    <col min="24" max="24" width="12.7272727272727" customWidth="1"/>
    <col min="26" max="28" width="12.8181818181818"/>
    <col min="29" max="29" width="11.0454545454545" customWidth="1"/>
  </cols>
  <sheetData>
    <row r="1" spans="1:30">
      <c r="A1" s="2" t="s">
        <v>0</v>
      </c>
      <c r="B1" s="2"/>
      <c r="C1" s="2" t="s">
        <v>1</v>
      </c>
      <c r="E1" s="2"/>
      <c r="F1" s="2"/>
      <c r="G1" s="2" t="s">
        <v>2</v>
      </c>
      <c r="H1" s="2"/>
      <c r="I1" s="2"/>
      <c r="J1" s="2"/>
      <c r="K1" s="2" t="s">
        <v>4</v>
      </c>
      <c r="L1" s="2"/>
      <c r="M1" s="2"/>
      <c r="N1" s="2"/>
      <c r="O1" s="2"/>
      <c r="P1" s="2" t="s">
        <v>5</v>
      </c>
      <c r="Q1" s="2"/>
      <c r="R1" s="2"/>
      <c r="S1" s="2"/>
      <c r="T1" s="2"/>
      <c r="U1" s="2" t="s">
        <v>6</v>
      </c>
      <c r="V1" s="2"/>
      <c r="W1" s="2"/>
      <c r="X1" s="2"/>
      <c r="Y1" s="2"/>
      <c r="Z1" s="2" t="s">
        <v>7</v>
      </c>
      <c r="AA1" s="2"/>
      <c r="AB1" s="2"/>
      <c r="AC1" s="2"/>
    </row>
    <row r="2" spans="1:30">
      <c r="A2" t="s">
        <v>383</v>
      </c>
      <c r="B2" s="3" t="s">
        <v>384</v>
      </c>
      <c r="C2" s="2" t="s">
        <v>8</v>
      </c>
      <c r="D2" s="2" t="s">
        <v>9</v>
      </c>
      <c r="E2" s="2" t="s">
        <v>3</v>
      </c>
      <c r="F2" s="2" t="s">
        <v>10</v>
      </c>
      <c r="G2" s="2" t="s">
        <v>8</v>
      </c>
      <c r="H2" s="2" t="s">
        <v>9</v>
      </c>
      <c r="I2" s="2" t="s">
        <v>3</v>
      </c>
      <c r="J2" s="2" t="s">
        <v>10</v>
      </c>
      <c r="K2" s="2" t="s">
        <v>8</v>
      </c>
      <c r="L2" s="2" t="s">
        <v>9</v>
      </c>
      <c r="M2" s="2" t="s">
        <v>10</v>
      </c>
      <c r="N2" s="2" t="s">
        <v>3</v>
      </c>
      <c r="O2" s="2"/>
      <c r="P2" s="2" t="s">
        <v>8</v>
      </c>
      <c r="Q2" s="2" t="s">
        <v>9</v>
      </c>
      <c r="R2" s="2" t="s">
        <v>10</v>
      </c>
      <c r="S2" s="2" t="s">
        <v>3</v>
      </c>
      <c r="T2" s="2"/>
      <c r="U2" s="2" t="s">
        <v>8</v>
      </c>
      <c r="V2" s="2" t="s">
        <v>9</v>
      </c>
      <c r="W2" s="2" t="s">
        <v>10</v>
      </c>
      <c r="X2" s="2" t="s">
        <v>3</v>
      </c>
      <c r="Y2" s="2"/>
      <c r="Z2" s="2" t="s">
        <v>8</v>
      </c>
      <c r="AA2" s="2" t="s">
        <v>9</v>
      </c>
      <c r="AB2" s="2" t="s">
        <v>10</v>
      </c>
      <c r="AC2" s="2" t="s">
        <v>3</v>
      </c>
      <c r="AD2" s="2"/>
    </row>
    <row r="3" spans="1:30">
      <c r="A3" s="4">
        <v>6</v>
      </c>
      <c r="B3" s="5">
        <v>3</v>
      </c>
      <c r="C3">
        <v>27.16175</v>
      </c>
      <c r="D3">
        <v>27.16175</v>
      </c>
      <c r="E3">
        <v>28.71</v>
      </c>
      <c r="F3" s="6">
        <v>0</v>
      </c>
      <c r="G3">
        <v>27.16175</v>
      </c>
      <c r="H3">
        <v>27.16175</v>
      </c>
      <c r="I3">
        <v>239.121666666667</v>
      </c>
      <c r="J3" s="6">
        <v>0</v>
      </c>
      <c r="K3">
        <v>27.16175</v>
      </c>
      <c r="L3">
        <v>27.16175</v>
      </c>
      <c r="M3" s="6">
        <v>0</v>
      </c>
      <c r="N3">
        <v>146.3575</v>
      </c>
      <c r="P3">
        <v>27.16175</v>
      </c>
      <c r="Q3">
        <v>27.16175</v>
      </c>
      <c r="R3" s="6">
        <v>0</v>
      </c>
      <c r="S3">
        <v>34.3045833333333</v>
      </c>
      <c r="U3">
        <v>27.16175</v>
      </c>
      <c r="V3">
        <v>27.16175</v>
      </c>
      <c r="W3" s="6">
        <v>0</v>
      </c>
      <c r="X3">
        <v>178.41875</v>
      </c>
      <c r="Z3">
        <v>27.16175</v>
      </c>
      <c r="AA3">
        <v>27.16175</v>
      </c>
      <c r="AB3" s="6">
        <v>0</v>
      </c>
      <c r="AC3">
        <v>35.975</v>
      </c>
    </row>
    <row r="4" spans="1:30">
      <c r="A4" s="4">
        <v>6</v>
      </c>
      <c r="B4" s="5">
        <v>5</v>
      </c>
      <c r="C4">
        <v>27.7118708333333</v>
      </c>
      <c r="D4">
        <v>27.7118708333333</v>
      </c>
      <c r="E4">
        <v>123.04125</v>
      </c>
      <c r="F4" s="6">
        <v>0</v>
      </c>
      <c r="G4">
        <v>27.7118708333333</v>
      </c>
      <c r="H4">
        <v>28.2505</v>
      </c>
      <c r="I4">
        <v>1127.085</v>
      </c>
      <c r="J4" s="6">
        <v>0.0248311804121905</v>
      </c>
      <c r="K4">
        <v>27.7118708333333</v>
      </c>
      <c r="L4">
        <v>27.7118708333333</v>
      </c>
      <c r="M4" s="6">
        <v>0</v>
      </c>
      <c r="N4">
        <v>1033.63833333333</v>
      </c>
      <c r="P4">
        <v>27.7118708333333</v>
      </c>
      <c r="Q4">
        <v>27.7118708333333</v>
      </c>
      <c r="R4" s="6">
        <v>0</v>
      </c>
      <c r="S4">
        <v>222.50625</v>
      </c>
      <c r="U4">
        <v>27.7118708333333</v>
      </c>
      <c r="V4">
        <v>27.7118708333333</v>
      </c>
      <c r="W4" s="6">
        <v>0</v>
      </c>
      <c r="X4">
        <v>413.234166666667</v>
      </c>
      <c r="Z4">
        <v>27.7118708333333</v>
      </c>
      <c r="AA4">
        <v>27.7118708333333</v>
      </c>
      <c r="AB4" s="6">
        <v>0</v>
      </c>
      <c r="AC4">
        <v>287.733333333333</v>
      </c>
    </row>
    <row r="5" spans="1:30">
      <c r="A5" s="5">
        <v>9</v>
      </c>
      <c r="B5" s="5">
        <v>3</v>
      </c>
      <c r="C5" s="5">
        <v>49.9696958333333</v>
      </c>
      <c r="D5">
        <v>49.9696958333333</v>
      </c>
      <c r="E5">
        <v>259.004166666667</v>
      </c>
      <c r="F5" s="6">
        <v>0</v>
      </c>
      <c r="G5">
        <v>49.9696958333333</v>
      </c>
      <c r="H5">
        <v>50.1875375</v>
      </c>
      <c r="I5">
        <v>814.40625</v>
      </c>
      <c r="J5" s="6">
        <v>0.00493126226701112</v>
      </c>
      <c r="K5">
        <v>49.9696958333333</v>
      </c>
      <c r="L5">
        <v>50.0533041666667</v>
      </c>
      <c r="M5" s="6">
        <v>0.00130128871843476</v>
      </c>
      <c r="N5">
        <v>570.1975</v>
      </c>
      <c r="P5">
        <v>49.9696958333333</v>
      </c>
      <c r="Q5">
        <v>50.0533041666667</v>
      </c>
      <c r="R5" s="6">
        <v>0.00130128871843476</v>
      </c>
      <c r="S5">
        <v>342.770416666667</v>
      </c>
      <c r="U5">
        <v>49.9696958333333</v>
      </c>
      <c r="V5">
        <v>50.0533041666667</v>
      </c>
      <c r="W5" s="6">
        <v>0.00130128871843476</v>
      </c>
      <c r="X5">
        <v>458.797083333333</v>
      </c>
      <c r="Z5">
        <v>49.9696958333333</v>
      </c>
      <c r="AA5">
        <v>50.0533041666667</v>
      </c>
      <c r="AB5" s="6">
        <v>0.00130128871843476</v>
      </c>
      <c r="AC5">
        <v>384.285833333333</v>
      </c>
    </row>
    <row r="6" s="1" customFormat="1" spans="1:30">
      <c r="A6" s="7">
        <v>9</v>
      </c>
      <c r="B6" s="7">
        <v>5</v>
      </c>
      <c r="C6" s="1">
        <v>53.326925</v>
      </c>
      <c r="D6" s="1">
        <v>53.326925</v>
      </c>
      <c r="E6" s="1">
        <v>191.500833333333</v>
      </c>
      <c r="F6" s="8">
        <v>0</v>
      </c>
      <c r="G6">
        <v>53.3096708333333</v>
      </c>
      <c r="H6">
        <v>53.5533333333333</v>
      </c>
      <c r="I6" s="1">
        <v>593.92375</v>
      </c>
      <c r="J6" s="6">
        <v>0.0036652055734139</v>
      </c>
      <c r="K6" s="1">
        <v>53.3096708333333</v>
      </c>
      <c r="L6" s="1">
        <v>53.3096708333333</v>
      </c>
      <c r="M6" s="8">
        <v>0</v>
      </c>
      <c r="N6" s="1">
        <v>340.235416666667</v>
      </c>
      <c r="O6" s="1"/>
      <c r="P6">
        <v>53.3096708333333</v>
      </c>
      <c r="Q6">
        <v>53.3096708333333</v>
      </c>
      <c r="R6" s="8">
        <v>0</v>
      </c>
      <c r="S6" s="1">
        <v>231.509583333333</v>
      </c>
      <c r="U6">
        <v>53.3096708333333</v>
      </c>
      <c r="V6">
        <v>53.3096708333333</v>
      </c>
      <c r="W6" s="8">
        <v>0</v>
      </c>
      <c r="X6" s="1">
        <v>266.241666666667</v>
      </c>
      <c r="Z6">
        <v>53.3096708333333</v>
      </c>
      <c r="AA6">
        <v>53.3096708333333</v>
      </c>
      <c r="AB6" s="8">
        <v>0</v>
      </c>
      <c r="AC6" s="1">
        <v>247.47125</v>
      </c>
    </row>
    <row r="7" spans="1:30">
      <c r="A7" s="5">
        <v>25</v>
      </c>
      <c r="B7" s="5">
        <v>3</v>
      </c>
      <c r="C7">
        <v>198.186666666667</v>
      </c>
      <c r="D7">
        <v>202.210416666667</v>
      </c>
      <c r="E7">
        <v>1542.02916666667</v>
      </c>
      <c r="F7" s="6">
        <v>0.0199033124580169</v>
      </c>
      <c r="G7">
        <v>190.8985625</v>
      </c>
      <c r="H7">
        <v>204.796945833333</v>
      </c>
      <c r="I7">
        <v>3506.80958333333</v>
      </c>
      <c r="J7" s="6">
        <v>0.0678635204478042</v>
      </c>
      <c r="K7">
        <v>192.89125</v>
      </c>
      <c r="L7">
        <v>204.796945833333</v>
      </c>
      <c r="M7" s="6">
        <v>0.0581335565851372</v>
      </c>
      <c r="N7">
        <v>3449.925</v>
      </c>
      <c r="P7">
        <v>197.15</v>
      </c>
      <c r="Q7">
        <v>203.139166666667</v>
      </c>
      <c r="R7" s="6">
        <v>0.0295081183123378</v>
      </c>
      <c r="S7">
        <v>1748.1525</v>
      </c>
      <c r="U7">
        <v>192.271666666667</v>
      </c>
      <c r="V7">
        <v>204.796945833333</v>
      </c>
      <c r="W7" s="6">
        <v>0.0611578016694869</v>
      </c>
      <c r="X7">
        <v>2306.71958333333</v>
      </c>
      <c r="Z7">
        <v>194.72375</v>
      </c>
      <c r="AA7">
        <v>203.61875</v>
      </c>
      <c r="AB7" s="6">
        <v>0.0436950233217055</v>
      </c>
      <c r="AC7">
        <v>1907.45464596492</v>
      </c>
    </row>
    <row r="8" spans="1:30">
      <c r="A8" s="5">
        <v>25</v>
      </c>
      <c r="B8" s="5">
        <v>5</v>
      </c>
      <c r="C8">
        <v>222.763270833333</v>
      </c>
      <c r="D8">
        <v>226.952008333333</v>
      </c>
      <c r="E8">
        <v>1459.75375</v>
      </c>
      <c r="F8" s="6">
        <v>0.0185154871905444</v>
      </c>
      <c r="G8">
        <v>217.24325</v>
      </c>
      <c r="H8">
        <v>227.321079166667</v>
      </c>
      <c r="I8">
        <v>3146.03208333333</v>
      </c>
      <c r="J8" s="6">
        <v>0.0444318831775014</v>
      </c>
      <c r="K8">
        <v>218.42525</v>
      </c>
      <c r="L8">
        <v>227.321079166667</v>
      </c>
      <c r="M8" s="6">
        <v>0.0392335121500529</v>
      </c>
      <c r="N8">
        <v>3133.34083333333</v>
      </c>
      <c r="P8">
        <v>222.314666666667</v>
      </c>
      <c r="Q8">
        <v>227.139333333333</v>
      </c>
      <c r="R8" s="6">
        <v>0.0212646622648265</v>
      </c>
      <c r="S8">
        <v>1904.87125</v>
      </c>
      <c r="U8">
        <v>219.577083333333</v>
      </c>
      <c r="V8">
        <v>227.320941666667</v>
      </c>
      <c r="W8" s="6">
        <v>0.0341551332120426</v>
      </c>
      <c r="X8">
        <v>2612.41708333333</v>
      </c>
      <c r="Z8">
        <v>221.523754166667</v>
      </c>
      <c r="AA8">
        <v>227.320583333333</v>
      </c>
      <c r="AB8" s="6">
        <v>0.0255515573530323</v>
      </c>
      <c r="AC8">
        <v>2376.15708333333</v>
      </c>
    </row>
    <row r="9" spans="1:30">
      <c r="B9" s="5"/>
      <c r="C9">
        <f>AVERAGE(C3:C8)</f>
        <v>96.5200298611111</v>
      </c>
      <c r="D9">
        <f t="shared" ref="D9:AC9" si="0">AVERAGE(D3:D8)</f>
        <v>97.8887777777778</v>
      </c>
      <c r="E9">
        <f t="shared" si="0"/>
        <v>600.673194444444</v>
      </c>
      <c r="F9">
        <f t="shared" si="0"/>
        <v>0.00640313327476022</v>
      </c>
      <c r="G9">
        <f t="shared" si="0"/>
        <v>94.3824666666667</v>
      </c>
      <c r="H9">
        <f t="shared" si="0"/>
        <v>98.5451909722222</v>
      </c>
      <c r="I9">
        <f t="shared" si="0"/>
        <v>1571.22972222222</v>
      </c>
      <c r="J9">
        <f t="shared" si="0"/>
        <v>0.0242871753129868</v>
      </c>
      <c r="K9">
        <f t="shared" si="0"/>
        <v>94.91158125</v>
      </c>
      <c r="L9">
        <f t="shared" si="0"/>
        <v>98.3924368055555</v>
      </c>
      <c r="M9">
        <f t="shared" si="0"/>
        <v>0.0164447262422708</v>
      </c>
      <c r="N9">
        <f t="shared" si="0"/>
        <v>1445.61576388889</v>
      </c>
      <c r="O9" t="e">
        <f t="shared" si="0"/>
        <v>#DIV/0!</v>
      </c>
      <c r="P9">
        <f t="shared" si="0"/>
        <v>96.2696090277778</v>
      </c>
      <c r="Q9">
        <f t="shared" si="0"/>
        <v>98.0858493055556</v>
      </c>
      <c r="R9">
        <f t="shared" si="0"/>
        <v>0.00867901154926651</v>
      </c>
      <c r="S9">
        <f t="shared" si="0"/>
        <v>747.352430555556</v>
      </c>
      <c r="T9" t="e">
        <f t="shared" si="0"/>
        <v>#DIV/0!</v>
      </c>
      <c r="U9">
        <f t="shared" si="0"/>
        <v>95.0002895833333</v>
      </c>
      <c r="V9">
        <f t="shared" si="0"/>
        <v>98.3924138888889</v>
      </c>
      <c r="W9">
        <f t="shared" si="0"/>
        <v>0.016102370599994</v>
      </c>
      <c r="X9">
        <f t="shared" si="0"/>
        <v>1039.30472222222</v>
      </c>
      <c r="Y9" t="e">
        <f t="shared" si="0"/>
        <v>#DIV/0!</v>
      </c>
      <c r="Z9">
        <f t="shared" si="0"/>
        <v>95.7334152777778</v>
      </c>
      <c r="AA9">
        <f t="shared" si="0"/>
        <v>98.1959881944444</v>
      </c>
      <c r="AB9">
        <f t="shared" si="0"/>
        <v>0.0117579782321954</v>
      </c>
      <c r="AC9">
        <f t="shared" si="0"/>
        <v>873.179524327486</v>
      </c>
    </row>
    <row r="10" spans="1:30">
      <c r="B10" s="5"/>
    </row>
    <row r="18" spans="1:28">
      <c r="A18" s="2" t="s">
        <v>0</v>
      </c>
      <c r="B18" s="2"/>
      <c r="C18" s="2" t="s">
        <v>1</v>
      </c>
      <c r="E18" s="2"/>
      <c r="F18" s="2"/>
      <c r="G18" s="2" t="s">
        <v>2</v>
      </c>
      <c r="H18" s="2"/>
      <c r="I18" s="2"/>
      <c r="J18" s="2"/>
      <c r="K18" s="2" t="s">
        <v>4</v>
      </c>
      <c r="L18" s="2"/>
      <c r="M18" s="2"/>
      <c r="N18" s="2"/>
    </row>
    <row r="19" spans="1:28">
      <c r="A19" t="s">
        <v>383</v>
      </c>
      <c r="B19" s="3" t="s">
        <v>384</v>
      </c>
      <c r="C19" s="2" t="s">
        <v>8</v>
      </c>
      <c r="D19" s="2" t="s">
        <v>9</v>
      </c>
      <c r="E19" s="2" t="s">
        <v>3</v>
      </c>
      <c r="F19" s="2" t="s">
        <v>10</v>
      </c>
      <c r="G19" s="2" t="s">
        <v>8</v>
      </c>
      <c r="H19" s="2" t="s">
        <v>9</v>
      </c>
      <c r="I19" s="2" t="s">
        <v>3</v>
      </c>
      <c r="J19" s="2" t="s">
        <v>10</v>
      </c>
      <c r="K19" s="2" t="s">
        <v>8</v>
      </c>
      <c r="L19" s="2" t="s">
        <v>9</v>
      </c>
      <c r="M19" s="2" t="s">
        <v>10</v>
      </c>
      <c r="N19" s="2" t="s">
        <v>3</v>
      </c>
    </row>
    <row r="20" spans="1:28">
      <c r="A20" s="4">
        <v>6</v>
      </c>
      <c r="B20" s="5">
        <v>3</v>
      </c>
      <c r="C20">
        <v>27.16175</v>
      </c>
      <c r="D20">
        <v>27.16175</v>
      </c>
      <c r="E20">
        <v>28.71</v>
      </c>
      <c r="F20" s="6">
        <v>0</v>
      </c>
      <c r="G20">
        <v>27.16175</v>
      </c>
      <c r="H20">
        <v>27.16175</v>
      </c>
      <c r="I20">
        <v>239.121666666667</v>
      </c>
      <c r="J20" s="6">
        <v>0</v>
      </c>
      <c r="K20">
        <v>27.16175</v>
      </c>
      <c r="L20">
        <v>27.16175</v>
      </c>
      <c r="M20" s="6">
        <v>0</v>
      </c>
      <c r="N20">
        <v>146.3575</v>
      </c>
    </row>
    <row r="21" spans="1:28">
      <c r="A21" s="4">
        <v>6</v>
      </c>
      <c r="B21" s="5">
        <v>5</v>
      </c>
      <c r="C21">
        <v>27.7118708333333</v>
      </c>
      <c r="D21">
        <v>27.7118708333333</v>
      </c>
      <c r="E21">
        <v>123.04125</v>
      </c>
      <c r="F21" s="6">
        <v>0</v>
      </c>
      <c r="G21">
        <v>27.7118708333333</v>
      </c>
      <c r="H21">
        <v>28.2505</v>
      </c>
      <c r="I21">
        <v>1127.085</v>
      </c>
      <c r="J21" s="6">
        <v>0.0248311804121905</v>
      </c>
      <c r="K21">
        <v>27.7118708333333</v>
      </c>
      <c r="L21">
        <v>27.7118708333333</v>
      </c>
      <c r="M21" s="6">
        <v>0</v>
      </c>
      <c r="N21">
        <v>1033.63833333333</v>
      </c>
    </row>
    <row r="22" spans="1:28">
      <c r="A22" s="5">
        <v>9</v>
      </c>
      <c r="B22" s="5">
        <v>3</v>
      </c>
      <c r="C22" s="5">
        <v>49.9696958333333</v>
      </c>
      <c r="D22">
        <v>49.9696958333333</v>
      </c>
      <c r="E22">
        <v>259.004166666667</v>
      </c>
      <c r="F22" s="6">
        <v>0</v>
      </c>
      <c r="G22">
        <v>49.9696958333333</v>
      </c>
      <c r="H22">
        <v>50.1875375</v>
      </c>
      <c r="I22">
        <v>814.40625</v>
      </c>
      <c r="J22" s="6">
        <v>0.00493126226701112</v>
      </c>
      <c r="K22">
        <v>49.9696958333333</v>
      </c>
      <c r="L22">
        <v>50.0533041666667</v>
      </c>
      <c r="M22" s="6">
        <v>0.00130128871843476</v>
      </c>
      <c r="N22">
        <v>570.1975</v>
      </c>
    </row>
    <row r="23" s="1" customFormat="1" spans="1:28">
      <c r="A23" s="7">
        <v>9</v>
      </c>
      <c r="B23" s="7">
        <v>5</v>
      </c>
      <c r="C23" s="1">
        <v>53.326925</v>
      </c>
      <c r="D23" s="1">
        <v>53.326925</v>
      </c>
      <c r="E23" s="1">
        <v>191.500833333333</v>
      </c>
      <c r="F23" s="8">
        <v>0</v>
      </c>
      <c r="G23">
        <v>53.3096708333333</v>
      </c>
      <c r="H23">
        <v>53.5533333333333</v>
      </c>
      <c r="I23" s="1">
        <v>593.92375</v>
      </c>
      <c r="J23" s="6">
        <v>0.0036652055734139</v>
      </c>
      <c r="K23" s="1">
        <v>53.3096708333333</v>
      </c>
      <c r="L23" s="1">
        <v>53.3096708333333</v>
      </c>
      <c r="M23" s="8">
        <v>0</v>
      </c>
      <c r="N23" s="1">
        <v>340.235416666667</v>
      </c>
      <c r="P23"/>
      <c r="Q23"/>
      <c r="R23" s="8"/>
      <c r="S23" s="1"/>
      <c r="U23"/>
      <c r="V23"/>
      <c r="W23" s="8"/>
      <c r="X23" s="1"/>
      <c r="Z23"/>
      <c r="AA23"/>
      <c r="AB23" s="8"/>
    </row>
    <row r="24" spans="1:28">
      <c r="A24" s="5">
        <v>25</v>
      </c>
      <c r="B24" s="5">
        <v>3</v>
      </c>
      <c r="C24">
        <v>198.186666666667</v>
      </c>
      <c r="D24">
        <v>202.210416666667</v>
      </c>
      <c r="E24">
        <v>1542.02916666667</v>
      </c>
      <c r="F24" s="6">
        <v>0.0199033124580169</v>
      </c>
      <c r="G24">
        <v>190.8985625</v>
      </c>
      <c r="H24">
        <v>204.796945833333</v>
      </c>
      <c r="I24">
        <v>3506.80958333333</v>
      </c>
      <c r="J24" s="6">
        <v>0.0678635204478042</v>
      </c>
      <c r="K24">
        <v>192.89125</v>
      </c>
      <c r="L24">
        <v>204.796945833333</v>
      </c>
      <c r="M24" s="6">
        <v>0.0581335565851372</v>
      </c>
      <c r="N24">
        <v>3449.925</v>
      </c>
    </row>
    <row r="25" spans="1:28">
      <c r="A25" s="5">
        <v>25</v>
      </c>
      <c r="B25" s="5">
        <v>5</v>
      </c>
      <c r="C25">
        <v>222.763270833333</v>
      </c>
      <c r="D25">
        <v>226.952008333333</v>
      </c>
      <c r="E25">
        <v>1459.75375</v>
      </c>
      <c r="F25" s="6">
        <v>0.0185154871905444</v>
      </c>
      <c r="G25">
        <v>217.24325</v>
      </c>
      <c r="H25">
        <v>227.321079166667</v>
      </c>
      <c r="I25">
        <v>3146.03208333333</v>
      </c>
      <c r="J25" s="6">
        <v>0.0444318831775014</v>
      </c>
      <c r="K25">
        <v>218.42525</v>
      </c>
      <c r="L25">
        <v>227.321079166667</v>
      </c>
      <c r="M25" s="6">
        <v>0.0392335121500529</v>
      </c>
      <c r="N25">
        <v>3133.34083333333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6</vt:lpstr>
      <vt:lpstr>9</vt:lpstr>
      <vt:lpstr>25</vt:lpstr>
      <vt:lpstr>25 (2)</vt:lpstr>
      <vt:lpstr>50</vt:lpstr>
      <vt:lpstr>4.2.2. Impact of Service Time o</vt:lpstr>
      <vt:lpstr>4.2.3. The Value of Optimizing </vt:lpstr>
      <vt:lpstr>4.3.1. Impact of Biological Reg</vt:lpstr>
      <vt:lpstr>4.3.3. Impact of Planning Horiz</vt:lpstr>
      <vt:lpstr>4.3.4. Impact of Battery Endura</vt:lpstr>
      <vt:lpstr>4.3.2. Impact of Tmax and Numbe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2026-03-03T11:05:00Z</dcterms:created>
  <dcterms:modified xsi:type="dcterms:W3CDTF">2026-06-10T08:12:40Z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FF0C462E4E7C40CAB9115468F0EEE29E_13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